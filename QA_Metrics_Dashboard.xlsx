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fects_Log" sheetId="1" state="visible" r:id="rId3"/>
    <sheet name="Sprint_Summary" sheetId="2" state="visible" r:id="rId4"/>
    <sheet name="Defect_Aging" sheetId="3" state="visible" r:id="rId5"/>
    <sheet name="Test_Execution" sheetId="4" state="visible" r:id="rId6"/>
    <sheet name="KPI_Summary" sheetId="5" state="visible" r:id="rId7"/>
  </sheets>
  <definedNames>
    <definedName function="false" hidden="true" localSheetId="2" name="_xlnm._FilterDatabase" vbProcedure="false">Defect_Aging!$A$1:$I$1</definedName>
    <definedName function="false" hidden="true" localSheetId="0" name="_xlnm._FilterDatabase" vbProcedure="false">Defects_Log!$A$1:$K$1</definedName>
    <definedName function="false" hidden="true" localSheetId="3" name="_xlnm._FilterDatabase" vbProcedure="false">Test_Execution!$A$1:$K$1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<sst xmlns="http://schemas.openxmlformats.org/spreadsheetml/2006/main" count="2005" uniqueCount="295">
  <si>
    <t xml:space="preserve">Defect ID</t>
  </si>
  <si>
    <t xml:space="preserve">Sprint</t>
  </si>
  <si>
    <t xml:space="preserve">Module</t>
  </si>
  <si>
    <t xml:space="preserve">Severity</t>
  </si>
  <si>
    <t xml:space="preserve">Priority</t>
  </si>
  <si>
    <t xml:space="preserve">Status</t>
  </si>
  <si>
    <t xml:space="preserve">Date Raised</t>
  </si>
  <si>
    <t xml:space="preserve">Date Resolved</t>
  </si>
  <si>
    <t xml:space="preserve">Days Open</t>
  </si>
  <si>
    <t xml:space="preserve">SLA Breach</t>
  </si>
  <si>
    <t xml:space="preserve">Tester</t>
  </si>
  <si>
    <t xml:space="preserve">DEF-1000</t>
  </si>
  <si>
    <t xml:space="preserve">Sprint 1</t>
  </si>
  <si>
    <t xml:space="preserve">Payments</t>
  </si>
  <si>
    <t xml:space="preserve">High</t>
  </si>
  <si>
    <t xml:space="preserve">P3</t>
  </si>
  <si>
    <t xml:space="preserve">Resolved</t>
  </si>
  <si>
    <t xml:space="preserve">No</t>
  </si>
  <si>
    <t xml:space="preserve">Chris L.</t>
  </si>
  <si>
    <t xml:space="preserve">DEF-1001</t>
  </si>
  <si>
    <t xml:space="preserve">Login</t>
  </si>
  <si>
    <t xml:space="preserve">Medium</t>
  </si>
  <si>
    <t xml:space="preserve">P1</t>
  </si>
  <si>
    <t xml:space="preserve">DEF-1002</t>
  </si>
  <si>
    <t xml:space="preserve">API</t>
  </si>
  <si>
    <t xml:space="preserve">Yes</t>
  </si>
  <si>
    <t xml:space="preserve">Swarleen B.</t>
  </si>
  <si>
    <t xml:space="preserve">DEF-1003</t>
  </si>
  <si>
    <t xml:space="preserve">Reporting</t>
  </si>
  <si>
    <t xml:space="preserve">P2</t>
  </si>
  <si>
    <t xml:space="preserve">Jordan T.</t>
  </si>
  <si>
    <t xml:space="preserve">DEF-1004</t>
  </si>
  <si>
    <t xml:space="preserve">DEF-1005</t>
  </si>
  <si>
    <t xml:space="preserve">Reopened</t>
  </si>
  <si>
    <t xml:space="preserve">DEF-1006</t>
  </si>
  <si>
    <t xml:space="preserve">Closed</t>
  </si>
  <si>
    <t xml:space="preserve">DEF-1007</t>
  </si>
  <si>
    <t xml:space="preserve">Critical</t>
  </si>
  <si>
    <t xml:space="preserve">DEF-1008</t>
  </si>
  <si>
    <t xml:space="preserve">User Mgmt</t>
  </si>
  <si>
    <t xml:space="preserve">Alex M.</t>
  </si>
  <si>
    <t xml:space="preserve">DEF-1009</t>
  </si>
  <si>
    <t xml:space="preserve">Dashboard</t>
  </si>
  <si>
    <t xml:space="preserve">DEF-1010</t>
  </si>
  <si>
    <t xml:space="preserve">DEF-1011</t>
  </si>
  <si>
    <t xml:space="preserve">Notifications</t>
  </si>
  <si>
    <t xml:space="preserve">Low</t>
  </si>
  <si>
    <t xml:space="preserve">DEF-1012</t>
  </si>
  <si>
    <t xml:space="preserve">P4</t>
  </si>
  <si>
    <t xml:space="preserve">Priya K.</t>
  </si>
  <si>
    <t xml:space="preserve">DEF-1013</t>
  </si>
  <si>
    <t xml:space="preserve">DEF-1014</t>
  </si>
  <si>
    <t xml:space="preserve">DEF-1015</t>
  </si>
  <si>
    <t xml:space="preserve">DEF-1016</t>
  </si>
  <si>
    <t xml:space="preserve">DEF-1017</t>
  </si>
  <si>
    <t xml:space="preserve">DEF-1018</t>
  </si>
  <si>
    <t xml:space="preserve">DEF-1019</t>
  </si>
  <si>
    <t xml:space="preserve">DEF-1020</t>
  </si>
  <si>
    <t xml:space="preserve">In Progress</t>
  </si>
  <si>
    <t xml:space="preserve">DEF-1021</t>
  </si>
  <si>
    <t xml:space="preserve">DEF-1022</t>
  </si>
  <si>
    <t xml:space="preserve">DEF-1023</t>
  </si>
  <si>
    <t xml:space="preserve">Search</t>
  </si>
  <si>
    <t xml:space="preserve">DEF-1024</t>
  </si>
  <si>
    <t xml:space="preserve">DEF-1025</t>
  </si>
  <si>
    <t xml:space="preserve">DEF-1026</t>
  </si>
  <si>
    <t xml:space="preserve">DEF-1027</t>
  </si>
  <si>
    <t xml:space="preserve">DEF-1028</t>
  </si>
  <si>
    <t xml:space="preserve">Sprint 2</t>
  </si>
  <si>
    <t xml:space="preserve">DEF-1029</t>
  </si>
  <si>
    <t xml:space="preserve">DEF-1030</t>
  </si>
  <si>
    <t xml:space="preserve">DEF-1031</t>
  </si>
  <si>
    <t xml:space="preserve">DEF-1032</t>
  </si>
  <si>
    <t xml:space="preserve">DEF-1033</t>
  </si>
  <si>
    <t xml:space="preserve">DEF-1034</t>
  </si>
  <si>
    <t xml:space="preserve">DEF-1035</t>
  </si>
  <si>
    <t xml:space="preserve">DEF-1036</t>
  </si>
  <si>
    <t xml:space="preserve">Open</t>
  </si>
  <si>
    <t xml:space="preserve">DEF-1037</t>
  </si>
  <si>
    <t xml:space="preserve">DEF-1038</t>
  </si>
  <si>
    <t xml:space="preserve">DEF-1039</t>
  </si>
  <si>
    <t xml:space="preserve">DEF-1040</t>
  </si>
  <si>
    <t xml:space="preserve">DEF-1041</t>
  </si>
  <si>
    <t xml:space="preserve">DEF-1042</t>
  </si>
  <si>
    <t xml:space="preserve">DEF-1043</t>
  </si>
  <si>
    <t xml:space="preserve">DEF-1044</t>
  </si>
  <si>
    <t xml:space="preserve">DEF-1045</t>
  </si>
  <si>
    <t xml:space="preserve">DEF-1046</t>
  </si>
  <si>
    <t xml:space="preserve">DEF-1047</t>
  </si>
  <si>
    <t xml:space="preserve">Sprint 3</t>
  </si>
  <si>
    <t xml:space="preserve">DEF-1048</t>
  </si>
  <si>
    <t xml:space="preserve">DEF-1049</t>
  </si>
  <si>
    <t xml:space="preserve">DEF-1050</t>
  </si>
  <si>
    <t xml:space="preserve">DEF-1051</t>
  </si>
  <si>
    <t xml:space="preserve">DEF-1052</t>
  </si>
  <si>
    <t xml:space="preserve">DEF-1053</t>
  </si>
  <si>
    <t xml:space="preserve">DEF-1054</t>
  </si>
  <si>
    <t xml:space="preserve">DEF-1055</t>
  </si>
  <si>
    <t xml:space="preserve">DEF-1056</t>
  </si>
  <si>
    <t xml:space="preserve">DEF-1057</t>
  </si>
  <si>
    <t xml:space="preserve">DEF-1058</t>
  </si>
  <si>
    <t xml:space="preserve">DEF-1059</t>
  </si>
  <si>
    <t xml:space="preserve">DEF-1060</t>
  </si>
  <si>
    <t xml:space="preserve">DEF-1061</t>
  </si>
  <si>
    <t xml:space="preserve">DEF-1062</t>
  </si>
  <si>
    <t xml:space="preserve">DEF-1063</t>
  </si>
  <si>
    <t xml:space="preserve">DEF-1064</t>
  </si>
  <si>
    <t xml:space="preserve">DEF-1065</t>
  </si>
  <si>
    <t xml:space="preserve">DEF-1066</t>
  </si>
  <si>
    <t xml:space="preserve">DEF-1067</t>
  </si>
  <si>
    <t xml:space="preserve">DEF-1068</t>
  </si>
  <si>
    <t xml:space="preserve">DEF-1069</t>
  </si>
  <si>
    <t xml:space="preserve">Sprint 4</t>
  </si>
  <si>
    <t xml:space="preserve">DEF-1070</t>
  </si>
  <si>
    <t xml:space="preserve">DEF-1071</t>
  </si>
  <si>
    <t xml:space="preserve">DEF-1072</t>
  </si>
  <si>
    <t xml:space="preserve">DEF-1073</t>
  </si>
  <si>
    <t xml:space="preserve">DEF-1074</t>
  </si>
  <si>
    <t xml:space="preserve">DEF-1075</t>
  </si>
  <si>
    <t xml:space="preserve">DEF-1076</t>
  </si>
  <si>
    <t xml:space="preserve">DEF-1077</t>
  </si>
  <si>
    <t xml:space="preserve">DEF-1078</t>
  </si>
  <si>
    <t xml:space="preserve">DEF-1079</t>
  </si>
  <si>
    <t xml:space="preserve">DEF-1080</t>
  </si>
  <si>
    <t xml:space="preserve">DEF-1081</t>
  </si>
  <si>
    <t xml:space="preserve">DEF-1082</t>
  </si>
  <si>
    <t xml:space="preserve">DEF-1083</t>
  </si>
  <si>
    <t xml:space="preserve">DEF-1084</t>
  </si>
  <si>
    <t xml:space="preserve">DEF-1085</t>
  </si>
  <si>
    <t xml:space="preserve">DEF-1086</t>
  </si>
  <si>
    <t xml:space="preserve">DEF-1087</t>
  </si>
  <si>
    <t xml:space="preserve">DEF-1088</t>
  </si>
  <si>
    <t xml:space="preserve">DEF-1089</t>
  </si>
  <si>
    <t xml:space="preserve">DEF-1090</t>
  </si>
  <si>
    <t xml:space="preserve">DEF-1091</t>
  </si>
  <si>
    <t xml:space="preserve">DEF-1092</t>
  </si>
  <si>
    <t xml:space="preserve">DEF-1093</t>
  </si>
  <si>
    <t xml:space="preserve">DEF-1094</t>
  </si>
  <si>
    <t xml:space="preserve">Sprint 5</t>
  </si>
  <si>
    <t xml:space="preserve">DEF-1095</t>
  </si>
  <si>
    <t xml:space="preserve">DEF-1096</t>
  </si>
  <si>
    <t xml:space="preserve">DEF-1097</t>
  </si>
  <si>
    <t xml:space="preserve">DEF-1098</t>
  </si>
  <si>
    <t xml:space="preserve">DEF-1099</t>
  </si>
  <si>
    <t xml:space="preserve">DEF-1100</t>
  </si>
  <si>
    <t xml:space="preserve">DEF-1101</t>
  </si>
  <si>
    <t xml:space="preserve">DEF-1102</t>
  </si>
  <si>
    <t xml:space="preserve">DEF-1103</t>
  </si>
  <si>
    <t xml:space="preserve">DEF-1104</t>
  </si>
  <si>
    <t xml:space="preserve">DEF-1105</t>
  </si>
  <si>
    <t xml:space="preserve">DEF-1106</t>
  </si>
  <si>
    <t xml:space="preserve">DEF-1107</t>
  </si>
  <si>
    <t xml:space="preserve">DEF-1108</t>
  </si>
  <si>
    <t xml:space="preserve">DEF-1109</t>
  </si>
  <si>
    <t xml:space="preserve">DEF-1110</t>
  </si>
  <si>
    <t xml:space="preserve">DEF-1111</t>
  </si>
  <si>
    <t xml:space="preserve">DEF-1112</t>
  </si>
  <si>
    <t xml:space="preserve">DEF-1113</t>
  </si>
  <si>
    <t xml:space="preserve">DEF-1114</t>
  </si>
  <si>
    <t xml:space="preserve">DEF-1115</t>
  </si>
  <si>
    <t xml:space="preserve">DEF-1116</t>
  </si>
  <si>
    <t xml:space="preserve">DEF-1117</t>
  </si>
  <si>
    <t xml:space="preserve">DEF-1118</t>
  </si>
  <si>
    <t xml:space="preserve">DEF-1119</t>
  </si>
  <si>
    <t xml:space="preserve">DEF-1120</t>
  </si>
  <si>
    <t xml:space="preserve">DEF-1121</t>
  </si>
  <si>
    <t xml:space="preserve">Sprint 6</t>
  </si>
  <si>
    <t xml:space="preserve">DEF-1122</t>
  </si>
  <si>
    <t xml:space="preserve">DEF-1123</t>
  </si>
  <si>
    <t xml:space="preserve">DEF-1124</t>
  </si>
  <si>
    <t xml:space="preserve">DEF-1125</t>
  </si>
  <si>
    <t xml:space="preserve">DEF-1126</t>
  </si>
  <si>
    <t xml:space="preserve">DEF-1127</t>
  </si>
  <si>
    <t xml:space="preserve">DEF-1128</t>
  </si>
  <si>
    <t xml:space="preserve">DEF-1129</t>
  </si>
  <si>
    <t xml:space="preserve">DEF-1130</t>
  </si>
  <si>
    <t xml:space="preserve">DEF-1131</t>
  </si>
  <si>
    <t xml:space="preserve">DEF-1132</t>
  </si>
  <si>
    <t xml:space="preserve">DEF-1133</t>
  </si>
  <si>
    <t xml:space="preserve">DEF-1134</t>
  </si>
  <si>
    <t xml:space="preserve">DEF-1135</t>
  </si>
  <si>
    <t xml:space="preserve">DEF-1136</t>
  </si>
  <si>
    <t xml:space="preserve">DEF-1137</t>
  </si>
  <si>
    <t xml:space="preserve">DEF-1138</t>
  </si>
  <si>
    <t xml:space="preserve">DEF-1139</t>
  </si>
  <si>
    <t xml:space="preserve">Sprint 7</t>
  </si>
  <si>
    <t xml:space="preserve">DEF-1140</t>
  </si>
  <si>
    <t xml:space="preserve">DEF-1141</t>
  </si>
  <si>
    <t xml:space="preserve">DEF-1142</t>
  </si>
  <si>
    <t xml:space="preserve">DEF-1143</t>
  </si>
  <si>
    <t xml:space="preserve">DEF-1144</t>
  </si>
  <si>
    <t xml:space="preserve">DEF-1145</t>
  </si>
  <si>
    <t xml:space="preserve">DEF-1146</t>
  </si>
  <si>
    <t xml:space="preserve">DEF-1147</t>
  </si>
  <si>
    <t xml:space="preserve">DEF-1148</t>
  </si>
  <si>
    <t xml:space="preserve">DEF-1149</t>
  </si>
  <si>
    <t xml:space="preserve">DEF-1150</t>
  </si>
  <si>
    <t xml:space="preserve">DEF-1151</t>
  </si>
  <si>
    <t xml:space="preserve">DEF-1152</t>
  </si>
  <si>
    <t xml:space="preserve">DEF-1153</t>
  </si>
  <si>
    <t xml:space="preserve">DEF-1154</t>
  </si>
  <si>
    <t xml:space="preserve">DEF-1155</t>
  </si>
  <si>
    <t xml:space="preserve">DEF-1156</t>
  </si>
  <si>
    <t xml:space="preserve">DEF-1157</t>
  </si>
  <si>
    <t xml:space="preserve">DEF-1158</t>
  </si>
  <si>
    <t xml:space="preserve">DEF-1159</t>
  </si>
  <si>
    <t xml:space="preserve">DEF-1160</t>
  </si>
  <si>
    <t xml:space="preserve">DEF-1161</t>
  </si>
  <si>
    <t xml:space="preserve">DEF-1162</t>
  </si>
  <si>
    <t xml:space="preserve">DEF-1163</t>
  </si>
  <si>
    <t xml:space="preserve">DEF-1164</t>
  </si>
  <si>
    <t xml:space="preserve">DEF-1165</t>
  </si>
  <si>
    <t xml:space="preserve">Sprint 8</t>
  </si>
  <si>
    <t xml:space="preserve">DEF-1166</t>
  </si>
  <si>
    <t xml:space="preserve">DEF-1167</t>
  </si>
  <si>
    <t xml:space="preserve">DEF-1168</t>
  </si>
  <si>
    <t xml:space="preserve">DEF-1169</t>
  </si>
  <si>
    <t xml:space="preserve">DEF-1170</t>
  </si>
  <si>
    <t xml:space="preserve">DEF-1171</t>
  </si>
  <si>
    <t xml:space="preserve">DEF-1172</t>
  </si>
  <si>
    <t xml:space="preserve">DEF-1173</t>
  </si>
  <si>
    <t xml:space="preserve">DEF-1174</t>
  </si>
  <si>
    <t xml:space="preserve">DEF-1175</t>
  </si>
  <si>
    <t xml:space="preserve">DEF-1176</t>
  </si>
  <si>
    <t xml:space="preserve">DEF-1177</t>
  </si>
  <si>
    <t xml:space="preserve">DEF-1178</t>
  </si>
  <si>
    <t xml:space="preserve">DEF-1179</t>
  </si>
  <si>
    <t xml:space="preserve">DEF-1180</t>
  </si>
  <si>
    <t xml:space="preserve">DEF-1181</t>
  </si>
  <si>
    <t xml:space="preserve">DEF-1182</t>
  </si>
  <si>
    <t xml:space="preserve">DEF-1183</t>
  </si>
  <si>
    <t xml:space="preserve">DEF-1184</t>
  </si>
  <si>
    <t xml:space="preserve">DEF-1185</t>
  </si>
  <si>
    <t xml:space="preserve">QA METRICS — SPRINT SUMMARY DASHBOARD</t>
  </si>
  <si>
    <t xml:space="preserve">Project: E-Commerce Platform Redesign  |  Team: QA Squad Alpha  |  Period: Jan–Apr 2024</t>
  </si>
  <si>
    <t xml:space="preserve">Total Defects</t>
  </si>
  <si>
    <t xml:space="preserve">Resolution Rate</t>
  </si>
  <si>
    <t xml:space="preserve">Avg Days to Resolve</t>
  </si>
  <si>
    <t xml:space="preserve">SLA Breaches</t>
  </si>
  <si>
    <t xml:space="preserve">Test Cases Run</t>
  </si>
  <si>
    <t xml:space="preserve">Pass Rate</t>
  </si>
  <si>
    <t xml:space="preserve">TOTALS / AVG</t>
  </si>
  <si>
    <t xml:space="preserve">Aging Bucket</t>
  </si>
  <si>
    <t xml:space="preserve">SLA (days)</t>
  </si>
  <si>
    <t xml:space="preserve">SLA Status</t>
  </si>
  <si>
    <t xml:space="preserve">Assigned Sprint</t>
  </si>
  <si>
    <t xml:space="preserve">SLA+100%</t>
  </si>
  <si>
    <t xml:space="preserve">Breached</t>
  </si>
  <si>
    <t xml:space="preserve">SLA+50%</t>
  </si>
  <si>
    <t xml:space="preserve">At Risk</t>
  </si>
  <si>
    <t xml:space="preserve">0-SLA</t>
  </si>
  <si>
    <t xml:space="preserve">Within SLA</t>
  </si>
  <si>
    <t xml:space="preserve">Test Cases Planned</t>
  </si>
  <si>
    <t xml:space="preserve">Passed</t>
  </si>
  <si>
    <t xml:space="preserve">Failed</t>
  </si>
  <si>
    <t xml:space="preserve">Blocked</t>
  </si>
  <si>
    <t xml:space="preserve">Execution Rate</t>
  </si>
  <si>
    <t xml:space="preserve">Fail Rate</t>
  </si>
  <si>
    <t xml:space="preserve">Block Rate</t>
  </si>
  <si>
    <t xml:space="preserve">KEY PERFORMANCE INDICATORS — OVERALL PROJECT</t>
  </si>
  <si>
    <t xml:space="preserve">KPI</t>
  </si>
  <si>
    <t xml:space="preserve">Value</t>
  </si>
  <si>
    <t xml:space="preserve">Target</t>
  </si>
  <si>
    <t xml:space="preserve">Trend</t>
  </si>
  <si>
    <t xml:space="preserve">Notes</t>
  </si>
  <si>
    <t xml:space="preserve">Total Defects Logged</t>
  </si>
  <si>
    <t xml:space="preserve">&lt;200</t>
  </si>
  <si>
    <t xml:space="preserve">✅ Pass</t>
  </si>
  <si>
    <t xml:space="preserve">→</t>
  </si>
  <si>
    <t xml:space="preserve">Across 8 sprints</t>
  </si>
  <si>
    <t xml:space="preserve">Overall Resolution Rate</t>
  </si>
  <si>
    <t xml:space="preserve">&gt;85%</t>
  </si>
  <si>
    <t xml:space="preserve">↑</t>
  </si>
  <si>
    <t xml:space="preserve">Formula-linked</t>
  </si>
  <si>
    <t xml:space="preserve">Critical Defects</t>
  </si>
  <si>
    <t xml:space="preserve">&lt;20</t>
  </si>
  <si>
    <t xml:space="preserve">⚠️ Watch</t>
  </si>
  <si>
    <t xml:space="preserve">Monitor closely</t>
  </si>
  <si>
    <t xml:space="preserve">SLA Breach Rate</t>
  </si>
  <si>
    <t xml:space="preserve">43.5%</t>
  </si>
  <si>
    <t xml:space="preserve">&lt;10%</t>
  </si>
  <si>
    <t xml:space="preserve">↓</t>
  </si>
  <si>
    <t xml:space="preserve">Improving trend</t>
  </si>
  <si>
    <t xml:space="preserve">Avg Days to Resolve (Critical)</t>
  </si>
  <si>
    <t xml:space="preserve">&lt;3 days</t>
  </si>
  <si>
    <t xml:space="preserve">Per SLA policy</t>
  </si>
  <si>
    <t xml:space="preserve">Overall Pass Rate</t>
  </si>
  <si>
    <t xml:space="preserve">&gt;90%</t>
  </si>
  <si>
    <t xml:space="preserve">Near target</t>
  </si>
  <si>
    <t xml:space="preserve">Test Execution Coverage</t>
  </si>
  <si>
    <t xml:space="preserve">&gt;95%</t>
  </si>
  <si>
    <t xml:space="preserve">Strong sprint coverage</t>
  </si>
  <si>
    <t xml:space="preserve">Defects Reopened</t>
  </si>
  <si>
    <t xml:space="preserve">&lt;10</t>
  </si>
  <si>
    <t xml:space="preserve">Low reopen rate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</si>
</sst>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"/>
    <numFmt numFmtId="166" formatCode="0.0%"/>
    <numFmt numFmtId="167" formatCode="General"/>
    <numFmt numFmtId="168" formatCode="0.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color rgb="FF1A1A2E"/>
      <name val="Arial"/>
      <family val="0"/>
      <charset val="1"/>
    </font>
    <font>
      <b val="true"/>
      <sz val="10"/>
      <color rgb="FF1A1A2E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i val="true"/>
      <sz val="10"/>
      <color rgb="FF888888"/>
      <name val="Arial"/>
      <family val="0"/>
      <charset val="1"/>
    </font>
    <font>
      <b val="true"/>
      <sz val="10"/>
      <color rgb="FFCC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4"/>
      <color rgb="FFFFFFFF"/>
      <name val="Arial"/>
      <family val="0"/>
      <charset val="1"/>
    </font>
  </fonts>
  <fills count="22">
    <fill>
      <patternFill patternType="none"/>
    </fill>
    <fill>
      <patternFill patternType="gray125"/>
    </fill>
    <fill>
      <patternFill patternType="solid">
        <fgColor rgb="FF6C3FC8"/>
        <bgColor rgb="FF333399"/>
      </patternFill>
    </fill>
    <fill>
      <patternFill patternType="solid">
        <fgColor rgb="FF00B4D8"/>
        <bgColor rgb="FF06D6A0"/>
      </patternFill>
    </fill>
    <fill>
      <patternFill patternType="solid">
        <fgColor rgb="FFF72585"/>
        <bgColor rgb="FFFF00FF"/>
      </patternFill>
    </fill>
    <fill>
      <patternFill patternType="solid">
        <fgColor rgb="FFF0F4F8"/>
        <bgColor rgb="FFE8F8F2"/>
      </patternFill>
    </fill>
    <fill>
      <patternFill patternType="solid">
        <fgColor rgb="FFFFD9B3"/>
        <bgColor rgb="FFFFE5E5"/>
      </patternFill>
    </fill>
    <fill>
      <patternFill patternType="solid">
        <fgColor rgb="FFE5FFE5"/>
        <bgColor rgb="FFE8F8F2"/>
      </patternFill>
    </fill>
    <fill>
      <patternFill patternType="solid">
        <fgColor rgb="FFFFFFFF"/>
        <bgColor rgb="FFF8F9FA"/>
      </patternFill>
    </fill>
    <fill>
      <patternFill patternType="solid">
        <fgColor rgb="FFFFFAB3"/>
        <bgColor rgb="FFFFF8E5"/>
      </patternFill>
    </fill>
    <fill>
      <patternFill patternType="solid">
        <fgColor rgb="FFFFE5E5"/>
        <bgColor rgb="FFFFF0F0"/>
      </patternFill>
    </fill>
    <fill>
      <patternFill patternType="solid">
        <fgColor rgb="FFFFB3B3"/>
        <bgColor rgb="FFFFD9B3"/>
      </patternFill>
    </fill>
    <fill>
      <patternFill patternType="solid">
        <fgColor rgb="FFB3FFB3"/>
        <bgColor rgb="FFE5FFE5"/>
      </patternFill>
    </fill>
    <fill>
      <patternFill patternType="solid">
        <fgColor rgb="FF1A1A2E"/>
        <bgColor rgb="FF16213E"/>
      </patternFill>
    </fill>
    <fill>
      <patternFill patternType="solid">
        <fgColor rgb="FFF8F9FA"/>
        <bgColor rgb="FFF0F4F8"/>
      </patternFill>
    </fill>
    <fill>
      <patternFill patternType="solid">
        <fgColor rgb="FFFFB347"/>
        <bgColor rgb="FFFFD166"/>
      </patternFill>
    </fill>
    <fill>
      <patternFill patternType="solid">
        <fgColor rgb="FFFFD166"/>
        <bgColor rgb="FFFFB347"/>
      </patternFill>
    </fill>
    <fill>
      <patternFill patternType="solid">
        <fgColor rgb="FF06D6A0"/>
        <bgColor rgb="FF00B4D8"/>
      </patternFill>
    </fill>
    <fill>
      <patternFill patternType="solid">
        <fgColor rgb="FFE8F8F2"/>
        <bgColor rgb="FFF0F4F8"/>
      </patternFill>
    </fill>
    <fill>
      <patternFill patternType="solid">
        <fgColor rgb="FF16213E"/>
        <bgColor rgb="FF1A1A2E"/>
      </patternFill>
    </fill>
    <fill>
      <patternFill patternType="solid">
        <fgColor rgb="FFFFF0F0"/>
        <bgColor rgb="FFFFF8E5"/>
      </patternFill>
    </fill>
    <fill>
      <patternFill patternType="solid">
        <fgColor rgb="FFFFF8E5"/>
        <bgColor rgb="FFFFF0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E3"/>
      </left>
      <right style="thin">
        <color rgb="FFD0D7E3"/>
      </right>
      <top style="thin">
        <color rgb="FFD0D7E3"/>
      </top>
      <bottom style="thin">
        <color rgb="FFD0D7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1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1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1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2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6C3FC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B4D8"/>
          <bgColor rgb="FF000000"/>
        </patternFill>
      </fill>
    </dxf>
    <dxf>
      <fill>
        <patternFill patternType="solid">
          <fgColor rgb="FFF72585"/>
          <bgColor rgb="FF000000"/>
        </patternFill>
      </fill>
    </dxf>
    <dxf>
      <fill>
        <patternFill patternType="solid">
          <fgColor rgb="FF06D6A0"/>
          <bgColor rgb="FF000000"/>
        </patternFill>
      </fill>
    </dxf>
    <dxf>
      <fill>
        <patternFill patternType="solid">
          <fgColor rgb="FFFFB347"/>
          <bgColor rgb="FF000000"/>
        </patternFill>
      </fill>
    </dxf>
    <dxf>
      <fill>
        <patternFill patternType="solid">
          <fgColor rgb="FF1A1A2E"/>
          <bgColor rgb="FF000000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D166"/>
      <rgbColor rgb="FFF72585"/>
      <rgbColor rgb="FF00FFFF"/>
      <rgbColor rgb="FF800000"/>
      <rgbColor rgb="FF008000"/>
      <rgbColor rgb="FF000080"/>
      <rgbColor rgb="FF808000"/>
      <rgbColor rgb="FF800080"/>
      <rgbColor rgb="FF008080"/>
      <rgbColor rgb="FFFFE5E5"/>
      <rgbColor rgb="FF888888"/>
      <rgbColor rgb="FF9999FF"/>
      <rgbColor rgb="FF993366"/>
      <rgbColor rgb="FFFFFAB3"/>
      <rgbColor rgb="FFE5FFE5"/>
      <rgbColor rgb="FF660066"/>
      <rgbColor rgb="FFFF8080"/>
      <rgbColor rgb="FF0066CC"/>
      <rgbColor rgb="FFD0D7E3"/>
      <rgbColor rgb="FF000080"/>
      <rgbColor rgb="FFFF00FF"/>
      <rgbColor rgb="FFF8F9FA"/>
      <rgbColor rgb="FF00FFFF"/>
      <rgbColor rgb="FF800080"/>
      <rgbColor rgb="FF800000"/>
      <rgbColor rgb="FF008080"/>
      <rgbColor rgb="FF0000FF"/>
      <rgbColor rgb="FF00B4D8"/>
      <rgbColor rgb="FFE8F8F2"/>
      <rgbColor rgb="FFB3FFB3"/>
      <rgbColor rgb="FFFFF8E5"/>
      <rgbColor rgb="FFF0F4F8"/>
      <rgbColor rgb="FFFFB3B3"/>
      <rgbColor rgb="FFFFF0F0"/>
      <rgbColor rgb="FFFFD9B3"/>
      <rgbColor rgb="FF3366FF"/>
      <rgbColor rgb="FF06D6A0"/>
      <rgbColor rgb="FF99CC00"/>
      <rgbColor rgb="FFFFB347"/>
      <rgbColor rgb="FFFF9900"/>
      <rgbColor rgb="FFFF6600"/>
      <rgbColor rgb="FF6C3FC8"/>
      <rgbColor rgb="FF969696"/>
      <rgbColor rgb="FF003366"/>
      <rgbColor rgb="FF339966"/>
      <rgbColor rgb="FF003300"/>
      <rgbColor rgb="FF1A1A2E"/>
      <rgbColor rgb="FF993300"/>
      <rgbColor rgb="FF993366"/>
      <rgbColor rgb="FF333399"/>
      <rgbColor rgb="FF16213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8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20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8" min="6" style="0" width="14"/>
    <col collapsed="false" customWidth="true" hidden="false" outlineLevel="0" max="9" min="9" style="0" width="11"/>
    <col collapsed="false" customWidth="true" hidden="false" outlineLevel="0" max="10" min="10" style="0" width="12"/>
    <col collapsed="false" customWidth="true" hidden="false" outlineLevel="0" max="11" min="11" style="0" width="16"/>
  </cols>
  <sheetData>
    <row r="1" customFormat="false" ht="36" hidden="false" customHeight="true" outlineLevel="0" collapsed="false">
      <c r="A1" s="1" t="s">
        <v>0</v>
      </c>
      <c r="B1" s="2" t="s">
        <v>1</v>
      </c>
      <c r="C1" s="3" t="s">
        <v>2</v>
      </c>
      <c r="D1" s="1" t="s">
        <v>3</v>
      </c>
      <c r="E1" s="2" t="s">
        <v>4</v>
      </c>
      <c r="F1" s="3" t="s">
        <v>5</v>
      </c>
      <c r="G1" s="1" t="s">
        <v>6</v>
      </c>
      <c r="H1" s="2" t="s">
        <v>7</v>
      </c>
      <c r="I1" s="3" t="s">
        <v>8</v>
      </c>
      <c r="J1" s="1" t="s">
        <v>9</v>
      </c>
      <c r="K1" s="2" t="s">
        <v>10</v>
      </c>
    </row>
    <row r="2" customFormat="false" ht="15" hidden="false" customHeight="false" outlineLevel="0" collapsed="false">
      <c r="A2" s="4" t="s">
        <v>11</v>
      </c>
      <c r="B2" s="4" t="s">
        <v>12</v>
      </c>
      <c r="C2" s="5" t="s">
        <v>13</v>
      </c>
      <c r="D2" s="6" t="s">
        <v>14</v>
      </c>
      <c r="E2" s="4" t="s">
        <v>15</v>
      </c>
      <c r="F2" s="5" t="s">
        <v>16</v>
      </c>
      <c r="G2" s="7" t="n">
        <v>45301</v>
      </c>
      <c r="H2" s="7" t="n">
        <v>45302</v>
      </c>
      <c r="I2" s="4" t="n">
        <v>1</v>
      </c>
      <c r="J2" s="8" t="s">
        <v>17</v>
      </c>
      <c r="K2" s="5" t="s">
        <v>18</v>
      </c>
    </row>
    <row r="3" customFormat="false" ht="15" hidden="false" customHeight="false" outlineLevel="0" collapsed="false">
      <c r="A3" s="9" t="s">
        <v>19</v>
      </c>
      <c r="B3" s="9" t="s">
        <v>12</v>
      </c>
      <c r="C3" s="10" t="s">
        <v>20</v>
      </c>
      <c r="D3" s="11" t="s">
        <v>21</v>
      </c>
      <c r="E3" s="9" t="s">
        <v>22</v>
      </c>
      <c r="F3" s="10" t="s">
        <v>16</v>
      </c>
      <c r="G3" s="12" t="n">
        <v>45307</v>
      </c>
      <c r="H3" s="12" t="n">
        <v>45315</v>
      </c>
      <c r="I3" s="9" t="n">
        <v>8</v>
      </c>
      <c r="J3" s="8" t="s">
        <v>17</v>
      </c>
      <c r="K3" s="10" t="s">
        <v>18</v>
      </c>
    </row>
    <row r="4" customFormat="false" ht="15" hidden="false" customHeight="false" outlineLevel="0" collapsed="false">
      <c r="A4" s="4" t="s">
        <v>23</v>
      </c>
      <c r="B4" s="4" t="s">
        <v>12</v>
      </c>
      <c r="C4" s="5" t="s">
        <v>24</v>
      </c>
      <c r="D4" s="6" t="s">
        <v>14</v>
      </c>
      <c r="E4" s="4" t="s">
        <v>15</v>
      </c>
      <c r="F4" s="5" t="s">
        <v>16</v>
      </c>
      <c r="G4" s="7" t="n">
        <v>45302</v>
      </c>
      <c r="H4" s="7" t="n">
        <v>45308</v>
      </c>
      <c r="I4" s="4" t="n">
        <v>6</v>
      </c>
      <c r="J4" s="13" t="s">
        <v>25</v>
      </c>
      <c r="K4" s="5" t="s">
        <v>26</v>
      </c>
    </row>
    <row r="5" customFormat="false" ht="15" hidden="false" customHeight="false" outlineLevel="0" collapsed="false">
      <c r="A5" s="9" t="s">
        <v>27</v>
      </c>
      <c r="B5" s="9" t="s">
        <v>12</v>
      </c>
      <c r="C5" s="10" t="s">
        <v>28</v>
      </c>
      <c r="D5" s="11" t="s">
        <v>21</v>
      </c>
      <c r="E5" s="9" t="s">
        <v>29</v>
      </c>
      <c r="F5" s="10" t="s">
        <v>16</v>
      </c>
      <c r="G5" s="12" t="n">
        <v>45303</v>
      </c>
      <c r="H5" s="12" t="n">
        <v>45304</v>
      </c>
      <c r="I5" s="9" t="n">
        <v>1</v>
      </c>
      <c r="J5" s="8" t="s">
        <v>17</v>
      </c>
      <c r="K5" s="10" t="s">
        <v>30</v>
      </c>
    </row>
    <row r="6" customFormat="false" ht="15" hidden="false" customHeight="false" outlineLevel="0" collapsed="false">
      <c r="A6" s="4" t="s">
        <v>31</v>
      </c>
      <c r="B6" s="4" t="s">
        <v>12</v>
      </c>
      <c r="C6" s="5" t="s">
        <v>24</v>
      </c>
      <c r="D6" s="6" t="s">
        <v>14</v>
      </c>
      <c r="E6" s="4" t="s">
        <v>29</v>
      </c>
      <c r="F6" s="5" t="s">
        <v>16</v>
      </c>
      <c r="G6" s="7" t="n">
        <v>45304</v>
      </c>
      <c r="H6" s="7" t="n">
        <v>45312</v>
      </c>
      <c r="I6" s="4" t="n">
        <v>8</v>
      </c>
      <c r="J6" s="13" t="s">
        <v>25</v>
      </c>
      <c r="K6" s="5" t="s">
        <v>26</v>
      </c>
    </row>
    <row r="7" customFormat="false" ht="15" hidden="false" customHeight="false" outlineLevel="0" collapsed="false">
      <c r="A7" s="9" t="s">
        <v>32</v>
      </c>
      <c r="B7" s="9" t="s">
        <v>12</v>
      </c>
      <c r="C7" s="10" t="s">
        <v>13</v>
      </c>
      <c r="D7" s="11" t="s">
        <v>21</v>
      </c>
      <c r="E7" s="9" t="s">
        <v>15</v>
      </c>
      <c r="F7" s="10" t="s">
        <v>33</v>
      </c>
      <c r="G7" s="12" t="n">
        <v>45305</v>
      </c>
      <c r="H7" s="9"/>
      <c r="I7" s="9" t="n">
        <v>107</v>
      </c>
      <c r="J7" s="13" t="s">
        <v>25</v>
      </c>
      <c r="K7" s="10" t="s">
        <v>18</v>
      </c>
    </row>
    <row r="8" customFormat="false" ht="15" hidden="false" customHeight="false" outlineLevel="0" collapsed="false">
      <c r="A8" s="4" t="s">
        <v>34</v>
      </c>
      <c r="B8" s="4" t="s">
        <v>12</v>
      </c>
      <c r="C8" s="5" t="s">
        <v>28</v>
      </c>
      <c r="D8" s="6" t="s">
        <v>14</v>
      </c>
      <c r="E8" s="4" t="s">
        <v>15</v>
      </c>
      <c r="F8" s="5" t="s">
        <v>35</v>
      </c>
      <c r="G8" s="7" t="n">
        <v>45304</v>
      </c>
      <c r="H8" s="7" t="n">
        <v>45312</v>
      </c>
      <c r="I8" s="4" t="n">
        <v>8</v>
      </c>
      <c r="J8" s="13" t="s">
        <v>25</v>
      </c>
      <c r="K8" s="5" t="s">
        <v>26</v>
      </c>
    </row>
    <row r="9" customFormat="false" ht="15" hidden="false" customHeight="false" outlineLevel="0" collapsed="false">
      <c r="A9" s="9" t="s">
        <v>36</v>
      </c>
      <c r="B9" s="9" t="s">
        <v>12</v>
      </c>
      <c r="C9" s="10" t="s">
        <v>28</v>
      </c>
      <c r="D9" s="14" t="s">
        <v>37</v>
      </c>
      <c r="E9" s="9" t="s">
        <v>29</v>
      </c>
      <c r="F9" s="10" t="s">
        <v>16</v>
      </c>
      <c r="G9" s="12" t="n">
        <v>45300</v>
      </c>
      <c r="H9" s="12" t="n">
        <v>45305</v>
      </c>
      <c r="I9" s="9" t="n">
        <v>5</v>
      </c>
      <c r="J9" s="13" t="s">
        <v>25</v>
      </c>
      <c r="K9" s="10" t="s">
        <v>26</v>
      </c>
    </row>
    <row r="10" customFormat="false" ht="15" hidden="false" customHeight="false" outlineLevel="0" collapsed="false">
      <c r="A10" s="4" t="s">
        <v>38</v>
      </c>
      <c r="B10" s="4" t="s">
        <v>12</v>
      </c>
      <c r="C10" s="5" t="s">
        <v>39</v>
      </c>
      <c r="D10" s="6" t="s">
        <v>14</v>
      </c>
      <c r="E10" s="4" t="s">
        <v>15</v>
      </c>
      <c r="F10" s="5" t="s">
        <v>35</v>
      </c>
      <c r="G10" s="7" t="n">
        <v>45301</v>
      </c>
      <c r="H10" s="7" t="n">
        <v>45305</v>
      </c>
      <c r="I10" s="4" t="n">
        <v>4</v>
      </c>
      <c r="J10" s="8" t="s">
        <v>17</v>
      </c>
      <c r="K10" s="5" t="s">
        <v>40</v>
      </c>
    </row>
    <row r="11" customFormat="false" ht="15" hidden="false" customHeight="false" outlineLevel="0" collapsed="false">
      <c r="A11" s="9" t="s">
        <v>41</v>
      </c>
      <c r="B11" s="9" t="s">
        <v>12</v>
      </c>
      <c r="C11" s="10" t="s">
        <v>42</v>
      </c>
      <c r="D11" s="11" t="s">
        <v>21</v>
      </c>
      <c r="E11" s="9" t="s">
        <v>15</v>
      </c>
      <c r="F11" s="10" t="s">
        <v>16</v>
      </c>
      <c r="G11" s="12" t="n">
        <v>45300</v>
      </c>
      <c r="H11" s="12" t="n">
        <v>45308</v>
      </c>
      <c r="I11" s="9" t="n">
        <v>8</v>
      </c>
      <c r="J11" s="8" t="s">
        <v>17</v>
      </c>
      <c r="K11" s="10" t="s">
        <v>18</v>
      </c>
    </row>
    <row r="12" customFormat="false" ht="15" hidden="false" customHeight="false" outlineLevel="0" collapsed="false">
      <c r="A12" s="4" t="s">
        <v>43</v>
      </c>
      <c r="B12" s="4" t="s">
        <v>12</v>
      </c>
      <c r="C12" s="5" t="s">
        <v>28</v>
      </c>
      <c r="D12" s="11" t="s">
        <v>21</v>
      </c>
      <c r="E12" s="4" t="s">
        <v>29</v>
      </c>
      <c r="F12" s="5" t="s">
        <v>16</v>
      </c>
      <c r="G12" s="7" t="n">
        <v>45309</v>
      </c>
      <c r="H12" s="7" t="n">
        <v>45319</v>
      </c>
      <c r="I12" s="4" t="n">
        <v>10</v>
      </c>
      <c r="J12" s="8" t="s">
        <v>17</v>
      </c>
      <c r="K12" s="5" t="s">
        <v>30</v>
      </c>
    </row>
    <row r="13" customFormat="false" ht="15" hidden="false" customHeight="false" outlineLevel="0" collapsed="false">
      <c r="A13" s="9" t="s">
        <v>44</v>
      </c>
      <c r="B13" s="9" t="s">
        <v>12</v>
      </c>
      <c r="C13" s="10" t="s">
        <v>45</v>
      </c>
      <c r="D13" s="15" t="s">
        <v>46</v>
      </c>
      <c r="E13" s="9" t="s">
        <v>15</v>
      </c>
      <c r="F13" s="10" t="s">
        <v>16</v>
      </c>
      <c r="G13" s="12" t="n">
        <v>45299</v>
      </c>
      <c r="H13" s="12" t="n">
        <v>45308</v>
      </c>
      <c r="I13" s="9" t="n">
        <v>9</v>
      </c>
      <c r="J13" s="8" t="s">
        <v>17</v>
      </c>
      <c r="K13" s="10" t="s">
        <v>30</v>
      </c>
    </row>
    <row r="14" customFormat="false" ht="15" hidden="false" customHeight="false" outlineLevel="0" collapsed="false">
      <c r="A14" s="4" t="s">
        <v>47</v>
      </c>
      <c r="B14" s="4" t="s">
        <v>12</v>
      </c>
      <c r="C14" s="5" t="s">
        <v>28</v>
      </c>
      <c r="D14" s="14" t="s">
        <v>37</v>
      </c>
      <c r="E14" s="4" t="s">
        <v>48</v>
      </c>
      <c r="F14" s="5" t="s">
        <v>16</v>
      </c>
      <c r="G14" s="7" t="n">
        <v>45310</v>
      </c>
      <c r="H14" s="7" t="n">
        <v>45311</v>
      </c>
      <c r="I14" s="4" t="n">
        <v>1</v>
      </c>
      <c r="J14" s="8" t="s">
        <v>17</v>
      </c>
      <c r="K14" s="5" t="s">
        <v>49</v>
      </c>
    </row>
    <row r="15" customFormat="false" ht="15" hidden="false" customHeight="false" outlineLevel="0" collapsed="false">
      <c r="A15" s="9" t="s">
        <v>50</v>
      </c>
      <c r="B15" s="9" t="s">
        <v>12</v>
      </c>
      <c r="C15" s="10" t="s">
        <v>28</v>
      </c>
      <c r="D15" s="6" t="s">
        <v>14</v>
      </c>
      <c r="E15" s="9" t="s">
        <v>48</v>
      </c>
      <c r="F15" s="10" t="s">
        <v>16</v>
      </c>
      <c r="G15" s="12" t="n">
        <v>45303</v>
      </c>
      <c r="H15" s="12" t="n">
        <v>45304</v>
      </c>
      <c r="I15" s="9" t="n">
        <v>1</v>
      </c>
      <c r="J15" s="8" t="s">
        <v>17</v>
      </c>
      <c r="K15" s="10" t="s">
        <v>18</v>
      </c>
    </row>
    <row r="16" customFormat="false" ht="15" hidden="false" customHeight="false" outlineLevel="0" collapsed="false">
      <c r="A16" s="4" t="s">
        <v>51</v>
      </c>
      <c r="B16" s="4" t="s">
        <v>12</v>
      </c>
      <c r="C16" s="5" t="s">
        <v>39</v>
      </c>
      <c r="D16" s="11" t="s">
        <v>21</v>
      </c>
      <c r="E16" s="4" t="s">
        <v>15</v>
      </c>
      <c r="F16" s="5" t="s">
        <v>16</v>
      </c>
      <c r="G16" s="7" t="n">
        <v>45308</v>
      </c>
      <c r="H16" s="7" t="n">
        <v>45313</v>
      </c>
      <c r="I16" s="4" t="n">
        <v>5</v>
      </c>
      <c r="J16" s="8" t="s">
        <v>17</v>
      </c>
      <c r="K16" s="5" t="s">
        <v>40</v>
      </c>
    </row>
    <row r="17" customFormat="false" ht="15" hidden="false" customHeight="false" outlineLevel="0" collapsed="false">
      <c r="A17" s="9" t="s">
        <v>52</v>
      </c>
      <c r="B17" s="9" t="s">
        <v>12</v>
      </c>
      <c r="C17" s="10" t="s">
        <v>13</v>
      </c>
      <c r="D17" s="15" t="s">
        <v>46</v>
      </c>
      <c r="E17" s="9" t="s">
        <v>29</v>
      </c>
      <c r="F17" s="10" t="s">
        <v>16</v>
      </c>
      <c r="G17" s="12" t="n">
        <v>45311</v>
      </c>
      <c r="H17" s="12" t="n">
        <v>45312</v>
      </c>
      <c r="I17" s="9" t="n">
        <v>1</v>
      </c>
      <c r="J17" s="8" t="s">
        <v>17</v>
      </c>
      <c r="K17" s="10" t="s">
        <v>40</v>
      </c>
    </row>
    <row r="18" customFormat="false" ht="15" hidden="false" customHeight="false" outlineLevel="0" collapsed="false">
      <c r="A18" s="4" t="s">
        <v>53</v>
      </c>
      <c r="B18" s="4" t="s">
        <v>12</v>
      </c>
      <c r="C18" s="5" t="s">
        <v>45</v>
      </c>
      <c r="D18" s="11" t="s">
        <v>21</v>
      </c>
      <c r="E18" s="4" t="s">
        <v>15</v>
      </c>
      <c r="F18" s="5" t="s">
        <v>16</v>
      </c>
      <c r="G18" s="7" t="n">
        <v>45300</v>
      </c>
      <c r="H18" s="7" t="n">
        <v>45305</v>
      </c>
      <c r="I18" s="4" t="n">
        <v>5</v>
      </c>
      <c r="J18" s="8" t="s">
        <v>17</v>
      </c>
      <c r="K18" s="5" t="s">
        <v>18</v>
      </c>
    </row>
    <row r="19" customFormat="false" ht="15" hidden="false" customHeight="false" outlineLevel="0" collapsed="false">
      <c r="A19" s="9" t="s">
        <v>54</v>
      </c>
      <c r="B19" s="9" t="s">
        <v>12</v>
      </c>
      <c r="C19" s="10" t="s">
        <v>20</v>
      </c>
      <c r="D19" s="15" t="s">
        <v>46</v>
      </c>
      <c r="E19" s="9" t="s">
        <v>15</v>
      </c>
      <c r="F19" s="10" t="s">
        <v>33</v>
      </c>
      <c r="G19" s="12" t="n">
        <v>45312</v>
      </c>
      <c r="H19" s="9"/>
      <c r="I19" s="9" t="n">
        <v>100</v>
      </c>
      <c r="J19" s="13" t="s">
        <v>25</v>
      </c>
      <c r="K19" s="10" t="s">
        <v>26</v>
      </c>
    </row>
    <row r="20" customFormat="false" ht="15" hidden="false" customHeight="false" outlineLevel="0" collapsed="false">
      <c r="A20" s="4" t="s">
        <v>55</v>
      </c>
      <c r="B20" s="4" t="s">
        <v>12</v>
      </c>
      <c r="C20" s="5" t="s">
        <v>13</v>
      </c>
      <c r="D20" s="11" t="s">
        <v>21</v>
      </c>
      <c r="E20" s="4" t="s">
        <v>15</v>
      </c>
      <c r="F20" s="5" t="s">
        <v>16</v>
      </c>
      <c r="G20" s="7" t="n">
        <v>45309</v>
      </c>
      <c r="H20" s="7" t="n">
        <v>45313</v>
      </c>
      <c r="I20" s="4" t="n">
        <v>4</v>
      </c>
      <c r="J20" s="8" t="s">
        <v>17</v>
      </c>
      <c r="K20" s="5" t="s">
        <v>30</v>
      </c>
    </row>
    <row r="21" customFormat="false" ht="15" hidden="false" customHeight="false" outlineLevel="0" collapsed="false">
      <c r="A21" s="9" t="s">
        <v>56</v>
      </c>
      <c r="B21" s="9" t="s">
        <v>12</v>
      </c>
      <c r="C21" s="10" t="s">
        <v>24</v>
      </c>
      <c r="D21" s="11" t="s">
        <v>21</v>
      </c>
      <c r="E21" s="9" t="s">
        <v>15</v>
      </c>
      <c r="F21" s="10" t="s">
        <v>33</v>
      </c>
      <c r="G21" s="12" t="n">
        <v>45310</v>
      </c>
      <c r="H21" s="9"/>
      <c r="I21" s="9" t="n">
        <v>102</v>
      </c>
      <c r="J21" s="13" t="s">
        <v>25</v>
      </c>
      <c r="K21" s="10" t="s">
        <v>18</v>
      </c>
    </row>
    <row r="22" customFormat="false" ht="15" hidden="false" customHeight="false" outlineLevel="0" collapsed="false">
      <c r="A22" s="4" t="s">
        <v>57</v>
      </c>
      <c r="B22" s="4" t="s">
        <v>12</v>
      </c>
      <c r="C22" s="5" t="s">
        <v>24</v>
      </c>
      <c r="D22" s="11" t="s">
        <v>21</v>
      </c>
      <c r="E22" s="4" t="s">
        <v>15</v>
      </c>
      <c r="F22" s="5" t="s">
        <v>58</v>
      </c>
      <c r="G22" s="7" t="n">
        <v>45309</v>
      </c>
      <c r="H22" s="4"/>
      <c r="I22" s="4" t="n">
        <v>103</v>
      </c>
      <c r="J22" s="13" t="s">
        <v>25</v>
      </c>
      <c r="K22" s="5" t="s">
        <v>18</v>
      </c>
    </row>
    <row r="23" customFormat="false" ht="15" hidden="false" customHeight="false" outlineLevel="0" collapsed="false">
      <c r="A23" s="9" t="s">
        <v>59</v>
      </c>
      <c r="B23" s="9" t="s">
        <v>12</v>
      </c>
      <c r="C23" s="10" t="s">
        <v>20</v>
      </c>
      <c r="D23" s="11" t="s">
        <v>21</v>
      </c>
      <c r="E23" s="9" t="s">
        <v>29</v>
      </c>
      <c r="F23" s="10" t="s">
        <v>35</v>
      </c>
      <c r="G23" s="12" t="n">
        <v>45307</v>
      </c>
      <c r="H23" s="12" t="n">
        <v>45318</v>
      </c>
      <c r="I23" s="9" t="n">
        <v>11</v>
      </c>
      <c r="J23" s="13" t="s">
        <v>25</v>
      </c>
      <c r="K23" s="10" t="s">
        <v>18</v>
      </c>
    </row>
    <row r="24" customFormat="false" ht="15" hidden="false" customHeight="false" outlineLevel="0" collapsed="false">
      <c r="A24" s="4" t="s">
        <v>60</v>
      </c>
      <c r="B24" s="4" t="s">
        <v>12</v>
      </c>
      <c r="C24" s="5" t="s">
        <v>28</v>
      </c>
      <c r="D24" s="6" t="s">
        <v>14</v>
      </c>
      <c r="E24" s="4" t="s">
        <v>22</v>
      </c>
      <c r="F24" s="5" t="s">
        <v>35</v>
      </c>
      <c r="G24" s="7" t="n">
        <v>45312</v>
      </c>
      <c r="H24" s="7" t="n">
        <v>45315</v>
      </c>
      <c r="I24" s="4" t="n">
        <v>3</v>
      </c>
      <c r="J24" s="8" t="s">
        <v>17</v>
      </c>
      <c r="K24" s="5" t="s">
        <v>26</v>
      </c>
    </row>
    <row r="25" customFormat="false" ht="15" hidden="false" customHeight="false" outlineLevel="0" collapsed="false">
      <c r="A25" s="9" t="s">
        <v>61</v>
      </c>
      <c r="B25" s="9" t="s">
        <v>12</v>
      </c>
      <c r="C25" s="10" t="s">
        <v>62</v>
      </c>
      <c r="D25" s="6" t="s">
        <v>14</v>
      </c>
      <c r="E25" s="9" t="s">
        <v>15</v>
      </c>
      <c r="F25" s="10" t="s">
        <v>58</v>
      </c>
      <c r="G25" s="12" t="n">
        <v>45310</v>
      </c>
      <c r="H25" s="9"/>
      <c r="I25" s="9" t="n">
        <v>102</v>
      </c>
      <c r="J25" s="13" t="s">
        <v>25</v>
      </c>
      <c r="K25" s="10" t="s">
        <v>26</v>
      </c>
    </row>
    <row r="26" customFormat="false" ht="15" hidden="false" customHeight="false" outlineLevel="0" collapsed="false">
      <c r="A26" s="4" t="s">
        <v>63</v>
      </c>
      <c r="B26" s="4" t="s">
        <v>12</v>
      </c>
      <c r="C26" s="5" t="s">
        <v>62</v>
      </c>
      <c r="D26" s="15" t="s">
        <v>46</v>
      </c>
      <c r="E26" s="4" t="s">
        <v>15</v>
      </c>
      <c r="F26" s="5" t="s">
        <v>58</v>
      </c>
      <c r="G26" s="7" t="n">
        <v>45309</v>
      </c>
      <c r="H26" s="4"/>
      <c r="I26" s="4" t="n">
        <v>103</v>
      </c>
      <c r="J26" s="13" t="s">
        <v>25</v>
      </c>
      <c r="K26" s="5" t="s">
        <v>18</v>
      </c>
    </row>
    <row r="27" customFormat="false" ht="15" hidden="false" customHeight="false" outlineLevel="0" collapsed="false">
      <c r="A27" s="9" t="s">
        <v>64</v>
      </c>
      <c r="B27" s="9" t="s">
        <v>12</v>
      </c>
      <c r="C27" s="10" t="s">
        <v>28</v>
      </c>
      <c r="D27" s="6" t="s">
        <v>14</v>
      </c>
      <c r="E27" s="9" t="s">
        <v>15</v>
      </c>
      <c r="F27" s="10" t="s">
        <v>16</v>
      </c>
      <c r="G27" s="12" t="n">
        <v>45302</v>
      </c>
      <c r="H27" s="12" t="n">
        <v>45309</v>
      </c>
      <c r="I27" s="9" t="n">
        <v>7</v>
      </c>
      <c r="J27" s="13" t="s">
        <v>25</v>
      </c>
      <c r="K27" s="10" t="s">
        <v>30</v>
      </c>
    </row>
    <row r="28" customFormat="false" ht="15" hidden="false" customHeight="false" outlineLevel="0" collapsed="false">
      <c r="A28" s="4" t="s">
        <v>65</v>
      </c>
      <c r="B28" s="4" t="s">
        <v>12</v>
      </c>
      <c r="C28" s="5" t="s">
        <v>13</v>
      </c>
      <c r="D28" s="6" t="s">
        <v>14</v>
      </c>
      <c r="E28" s="4" t="s">
        <v>15</v>
      </c>
      <c r="F28" s="5" t="s">
        <v>16</v>
      </c>
      <c r="G28" s="7" t="n">
        <v>45307</v>
      </c>
      <c r="H28" s="7" t="n">
        <v>45313</v>
      </c>
      <c r="I28" s="4" t="n">
        <v>6</v>
      </c>
      <c r="J28" s="13" t="s">
        <v>25</v>
      </c>
      <c r="K28" s="5" t="s">
        <v>40</v>
      </c>
    </row>
    <row r="29" customFormat="false" ht="15" hidden="false" customHeight="false" outlineLevel="0" collapsed="false">
      <c r="A29" s="9" t="s">
        <v>66</v>
      </c>
      <c r="B29" s="9" t="s">
        <v>12</v>
      </c>
      <c r="C29" s="10" t="s">
        <v>28</v>
      </c>
      <c r="D29" s="6" t="s">
        <v>14</v>
      </c>
      <c r="E29" s="9" t="s">
        <v>29</v>
      </c>
      <c r="F29" s="10" t="s">
        <v>16</v>
      </c>
      <c r="G29" s="12" t="n">
        <v>45302</v>
      </c>
      <c r="H29" s="12" t="n">
        <v>45310</v>
      </c>
      <c r="I29" s="9" t="n">
        <v>8</v>
      </c>
      <c r="J29" s="13" t="s">
        <v>25</v>
      </c>
      <c r="K29" s="10" t="s">
        <v>26</v>
      </c>
    </row>
    <row r="30" customFormat="false" ht="15" hidden="false" customHeight="false" outlineLevel="0" collapsed="false">
      <c r="A30" s="4" t="s">
        <v>67</v>
      </c>
      <c r="B30" s="4" t="s">
        <v>68</v>
      </c>
      <c r="C30" s="5" t="s">
        <v>39</v>
      </c>
      <c r="D30" s="11" t="s">
        <v>21</v>
      </c>
      <c r="E30" s="4" t="s">
        <v>22</v>
      </c>
      <c r="F30" s="5" t="s">
        <v>58</v>
      </c>
      <c r="G30" s="7" t="n">
        <v>45313</v>
      </c>
      <c r="H30" s="4"/>
      <c r="I30" s="4" t="n">
        <v>99</v>
      </c>
      <c r="J30" s="13" t="s">
        <v>25</v>
      </c>
      <c r="K30" s="5" t="s">
        <v>26</v>
      </c>
    </row>
    <row r="31" customFormat="false" ht="15" hidden="false" customHeight="false" outlineLevel="0" collapsed="false">
      <c r="A31" s="9" t="s">
        <v>69</v>
      </c>
      <c r="B31" s="9" t="s">
        <v>68</v>
      </c>
      <c r="C31" s="10" t="s">
        <v>62</v>
      </c>
      <c r="D31" s="11" t="s">
        <v>21</v>
      </c>
      <c r="E31" s="9" t="s">
        <v>29</v>
      </c>
      <c r="F31" s="10" t="s">
        <v>16</v>
      </c>
      <c r="G31" s="12" t="n">
        <v>45321</v>
      </c>
      <c r="H31" s="12" t="n">
        <v>45322</v>
      </c>
      <c r="I31" s="9" t="n">
        <v>1</v>
      </c>
      <c r="J31" s="8" t="s">
        <v>17</v>
      </c>
      <c r="K31" s="10" t="s">
        <v>40</v>
      </c>
    </row>
    <row r="32" customFormat="false" ht="15" hidden="false" customHeight="false" outlineLevel="0" collapsed="false">
      <c r="A32" s="4" t="s">
        <v>70</v>
      </c>
      <c r="B32" s="4" t="s">
        <v>68</v>
      </c>
      <c r="C32" s="5" t="s">
        <v>45</v>
      </c>
      <c r="D32" s="11" t="s">
        <v>21</v>
      </c>
      <c r="E32" s="4" t="s">
        <v>48</v>
      </c>
      <c r="F32" s="5" t="s">
        <v>16</v>
      </c>
      <c r="G32" s="7" t="n">
        <v>45314</v>
      </c>
      <c r="H32" s="7" t="n">
        <v>45323</v>
      </c>
      <c r="I32" s="4" t="n">
        <v>9</v>
      </c>
      <c r="J32" s="8" t="s">
        <v>17</v>
      </c>
      <c r="K32" s="5" t="s">
        <v>30</v>
      </c>
    </row>
    <row r="33" customFormat="false" ht="15" hidden="false" customHeight="false" outlineLevel="0" collapsed="false">
      <c r="A33" s="9" t="s">
        <v>71</v>
      </c>
      <c r="B33" s="9" t="s">
        <v>68</v>
      </c>
      <c r="C33" s="10" t="s">
        <v>13</v>
      </c>
      <c r="D33" s="11" t="s">
        <v>21</v>
      </c>
      <c r="E33" s="9" t="s">
        <v>15</v>
      </c>
      <c r="F33" s="10" t="s">
        <v>35</v>
      </c>
      <c r="G33" s="12" t="n">
        <v>45323</v>
      </c>
      <c r="H33" s="12" t="n">
        <v>45332</v>
      </c>
      <c r="I33" s="9" t="n">
        <v>9</v>
      </c>
      <c r="J33" s="8" t="s">
        <v>17</v>
      </c>
      <c r="K33" s="10" t="s">
        <v>26</v>
      </c>
    </row>
    <row r="34" customFormat="false" ht="15" hidden="false" customHeight="false" outlineLevel="0" collapsed="false">
      <c r="A34" s="4" t="s">
        <v>72</v>
      </c>
      <c r="B34" s="4" t="s">
        <v>68</v>
      </c>
      <c r="C34" s="5" t="s">
        <v>28</v>
      </c>
      <c r="D34" s="11" t="s">
        <v>21</v>
      </c>
      <c r="E34" s="4" t="s">
        <v>29</v>
      </c>
      <c r="F34" s="5" t="s">
        <v>35</v>
      </c>
      <c r="G34" s="7" t="n">
        <v>45316</v>
      </c>
      <c r="H34" s="7" t="n">
        <v>45318</v>
      </c>
      <c r="I34" s="4" t="n">
        <v>2</v>
      </c>
      <c r="J34" s="8" t="s">
        <v>17</v>
      </c>
      <c r="K34" s="5" t="s">
        <v>18</v>
      </c>
    </row>
    <row r="35" customFormat="false" ht="15" hidden="false" customHeight="false" outlineLevel="0" collapsed="false">
      <c r="A35" s="9" t="s">
        <v>73</v>
      </c>
      <c r="B35" s="9" t="s">
        <v>68</v>
      </c>
      <c r="C35" s="10" t="s">
        <v>13</v>
      </c>
      <c r="D35" s="11" t="s">
        <v>21</v>
      </c>
      <c r="E35" s="9" t="s">
        <v>15</v>
      </c>
      <c r="F35" s="10" t="s">
        <v>16</v>
      </c>
      <c r="G35" s="12" t="n">
        <v>45316</v>
      </c>
      <c r="H35" s="12" t="n">
        <v>45328</v>
      </c>
      <c r="I35" s="9" t="n">
        <v>12</v>
      </c>
      <c r="J35" s="13" t="s">
        <v>25</v>
      </c>
      <c r="K35" s="10" t="s">
        <v>49</v>
      </c>
    </row>
    <row r="36" customFormat="false" ht="15" hidden="false" customHeight="false" outlineLevel="0" collapsed="false">
      <c r="A36" s="4" t="s">
        <v>74</v>
      </c>
      <c r="B36" s="4" t="s">
        <v>68</v>
      </c>
      <c r="C36" s="5" t="s">
        <v>20</v>
      </c>
      <c r="D36" s="15" t="s">
        <v>46</v>
      </c>
      <c r="E36" s="4" t="s">
        <v>48</v>
      </c>
      <c r="F36" s="5" t="s">
        <v>58</v>
      </c>
      <c r="G36" s="7" t="n">
        <v>45323</v>
      </c>
      <c r="H36" s="4"/>
      <c r="I36" s="4" t="n">
        <v>89</v>
      </c>
      <c r="J36" s="13" t="s">
        <v>25</v>
      </c>
      <c r="K36" s="5" t="s">
        <v>26</v>
      </c>
    </row>
    <row r="37" customFormat="false" ht="15" hidden="false" customHeight="false" outlineLevel="0" collapsed="false">
      <c r="A37" s="9" t="s">
        <v>75</v>
      </c>
      <c r="B37" s="9" t="s">
        <v>68</v>
      </c>
      <c r="C37" s="10" t="s">
        <v>28</v>
      </c>
      <c r="D37" s="15" t="s">
        <v>46</v>
      </c>
      <c r="E37" s="9" t="s">
        <v>48</v>
      </c>
      <c r="F37" s="10" t="s">
        <v>16</v>
      </c>
      <c r="G37" s="12" t="n">
        <v>45320</v>
      </c>
      <c r="H37" s="12" t="n">
        <v>45334</v>
      </c>
      <c r="I37" s="9" t="n">
        <v>14</v>
      </c>
      <c r="J37" s="8" t="s">
        <v>17</v>
      </c>
      <c r="K37" s="10" t="s">
        <v>49</v>
      </c>
    </row>
    <row r="38" customFormat="false" ht="15" hidden="false" customHeight="false" outlineLevel="0" collapsed="false">
      <c r="A38" s="4" t="s">
        <v>76</v>
      </c>
      <c r="B38" s="4" t="s">
        <v>68</v>
      </c>
      <c r="C38" s="5" t="s">
        <v>24</v>
      </c>
      <c r="D38" s="15" t="s">
        <v>46</v>
      </c>
      <c r="E38" s="4" t="s">
        <v>29</v>
      </c>
      <c r="F38" s="5" t="s">
        <v>77</v>
      </c>
      <c r="G38" s="7" t="n">
        <v>45319</v>
      </c>
      <c r="H38" s="4"/>
      <c r="I38" s="4" t="n">
        <v>93</v>
      </c>
      <c r="J38" s="13" t="s">
        <v>25</v>
      </c>
      <c r="K38" s="5" t="s">
        <v>49</v>
      </c>
    </row>
    <row r="39" customFormat="false" ht="15" hidden="false" customHeight="false" outlineLevel="0" collapsed="false">
      <c r="A39" s="9" t="s">
        <v>78</v>
      </c>
      <c r="B39" s="9" t="s">
        <v>68</v>
      </c>
      <c r="C39" s="10" t="s">
        <v>62</v>
      </c>
      <c r="D39" s="6" t="s">
        <v>14</v>
      </c>
      <c r="E39" s="9" t="s">
        <v>15</v>
      </c>
      <c r="F39" s="10" t="s">
        <v>35</v>
      </c>
      <c r="G39" s="12" t="n">
        <v>45325</v>
      </c>
      <c r="H39" s="12" t="n">
        <v>45332</v>
      </c>
      <c r="I39" s="9" t="n">
        <v>7</v>
      </c>
      <c r="J39" s="13" t="s">
        <v>25</v>
      </c>
      <c r="K39" s="10" t="s">
        <v>40</v>
      </c>
    </row>
    <row r="40" customFormat="false" ht="15" hidden="false" customHeight="false" outlineLevel="0" collapsed="false">
      <c r="A40" s="4" t="s">
        <v>79</v>
      </c>
      <c r="B40" s="4" t="s">
        <v>68</v>
      </c>
      <c r="C40" s="5" t="s">
        <v>20</v>
      </c>
      <c r="D40" s="6" t="s">
        <v>14</v>
      </c>
      <c r="E40" s="4" t="s">
        <v>29</v>
      </c>
      <c r="F40" s="5" t="s">
        <v>58</v>
      </c>
      <c r="G40" s="7" t="n">
        <v>45324</v>
      </c>
      <c r="H40" s="4"/>
      <c r="I40" s="4" t="n">
        <v>88</v>
      </c>
      <c r="J40" s="13" t="s">
        <v>25</v>
      </c>
      <c r="K40" s="5" t="s">
        <v>30</v>
      </c>
    </row>
    <row r="41" customFormat="false" ht="15" hidden="false" customHeight="false" outlineLevel="0" collapsed="false">
      <c r="A41" s="9" t="s">
        <v>80</v>
      </c>
      <c r="B41" s="9" t="s">
        <v>68</v>
      </c>
      <c r="C41" s="10" t="s">
        <v>42</v>
      </c>
      <c r="D41" s="14" t="s">
        <v>37</v>
      </c>
      <c r="E41" s="9" t="s">
        <v>15</v>
      </c>
      <c r="F41" s="10" t="s">
        <v>16</v>
      </c>
      <c r="G41" s="12" t="n">
        <v>45326</v>
      </c>
      <c r="H41" s="12" t="n">
        <v>45329</v>
      </c>
      <c r="I41" s="9" t="n">
        <v>3</v>
      </c>
      <c r="J41" s="13" t="s">
        <v>25</v>
      </c>
      <c r="K41" s="10" t="s">
        <v>26</v>
      </c>
    </row>
    <row r="42" customFormat="false" ht="15" hidden="false" customHeight="false" outlineLevel="0" collapsed="false">
      <c r="A42" s="4" t="s">
        <v>81</v>
      </c>
      <c r="B42" s="4" t="s">
        <v>68</v>
      </c>
      <c r="C42" s="5" t="s">
        <v>28</v>
      </c>
      <c r="D42" s="15" t="s">
        <v>46</v>
      </c>
      <c r="E42" s="4" t="s">
        <v>22</v>
      </c>
      <c r="F42" s="5" t="s">
        <v>16</v>
      </c>
      <c r="G42" s="7" t="n">
        <v>45322</v>
      </c>
      <c r="H42" s="7" t="n">
        <v>45323</v>
      </c>
      <c r="I42" s="4" t="n">
        <v>1</v>
      </c>
      <c r="J42" s="8" t="s">
        <v>17</v>
      </c>
      <c r="K42" s="5" t="s">
        <v>49</v>
      </c>
    </row>
    <row r="43" customFormat="false" ht="15" hidden="false" customHeight="false" outlineLevel="0" collapsed="false">
      <c r="A43" s="9" t="s">
        <v>82</v>
      </c>
      <c r="B43" s="9" t="s">
        <v>68</v>
      </c>
      <c r="C43" s="10" t="s">
        <v>13</v>
      </c>
      <c r="D43" s="6" t="s">
        <v>14</v>
      </c>
      <c r="E43" s="9" t="s">
        <v>48</v>
      </c>
      <c r="F43" s="10" t="s">
        <v>16</v>
      </c>
      <c r="G43" s="12" t="n">
        <v>45322</v>
      </c>
      <c r="H43" s="12" t="n">
        <v>45323</v>
      </c>
      <c r="I43" s="9" t="n">
        <v>1</v>
      </c>
      <c r="J43" s="8" t="s">
        <v>17</v>
      </c>
      <c r="K43" s="10" t="s">
        <v>49</v>
      </c>
    </row>
    <row r="44" customFormat="false" ht="15" hidden="false" customHeight="false" outlineLevel="0" collapsed="false">
      <c r="A44" s="4" t="s">
        <v>83</v>
      </c>
      <c r="B44" s="4" t="s">
        <v>68</v>
      </c>
      <c r="C44" s="5" t="s">
        <v>39</v>
      </c>
      <c r="D44" s="11" t="s">
        <v>21</v>
      </c>
      <c r="E44" s="4" t="s">
        <v>15</v>
      </c>
      <c r="F44" s="5" t="s">
        <v>16</v>
      </c>
      <c r="G44" s="7" t="n">
        <v>45317</v>
      </c>
      <c r="H44" s="7" t="n">
        <v>45319</v>
      </c>
      <c r="I44" s="4" t="n">
        <v>2</v>
      </c>
      <c r="J44" s="8" t="s">
        <v>17</v>
      </c>
      <c r="K44" s="5" t="s">
        <v>40</v>
      </c>
    </row>
    <row r="45" customFormat="false" ht="15" hidden="false" customHeight="false" outlineLevel="0" collapsed="false">
      <c r="A45" s="9" t="s">
        <v>84</v>
      </c>
      <c r="B45" s="9" t="s">
        <v>68</v>
      </c>
      <c r="C45" s="10" t="s">
        <v>13</v>
      </c>
      <c r="D45" s="6" t="s">
        <v>14</v>
      </c>
      <c r="E45" s="9" t="s">
        <v>29</v>
      </c>
      <c r="F45" s="10" t="s">
        <v>16</v>
      </c>
      <c r="G45" s="12" t="n">
        <v>45320</v>
      </c>
      <c r="H45" s="12" t="n">
        <v>45324</v>
      </c>
      <c r="I45" s="9" t="n">
        <v>4</v>
      </c>
      <c r="J45" s="8" t="s">
        <v>17</v>
      </c>
      <c r="K45" s="10" t="s">
        <v>26</v>
      </c>
    </row>
    <row r="46" customFormat="false" ht="15" hidden="false" customHeight="false" outlineLevel="0" collapsed="false">
      <c r="A46" s="4" t="s">
        <v>85</v>
      </c>
      <c r="B46" s="4" t="s">
        <v>68</v>
      </c>
      <c r="C46" s="5" t="s">
        <v>28</v>
      </c>
      <c r="D46" s="11" t="s">
        <v>21</v>
      </c>
      <c r="E46" s="4" t="s">
        <v>48</v>
      </c>
      <c r="F46" s="5" t="s">
        <v>33</v>
      </c>
      <c r="G46" s="7" t="n">
        <v>45314</v>
      </c>
      <c r="H46" s="4"/>
      <c r="I46" s="4" t="n">
        <v>98</v>
      </c>
      <c r="J46" s="13" t="s">
        <v>25</v>
      </c>
      <c r="K46" s="5" t="s">
        <v>18</v>
      </c>
    </row>
    <row r="47" customFormat="false" ht="15" hidden="false" customHeight="false" outlineLevel="0" collapsed="false">
      <c r="A47" s="9" t="s">
        <v>86</v>
      </c>
      <c r="B47" s="9" t="s">
        <v>68</v>
      </c>
      <c r="C47" s="10" t="s">
        <v>24</v>
      </c>
      <c r="D47" s="6" t="s">
        <v>14</v>
      </c>
      <c r="E47" s="9" t="s">
        <v>48</v>
      </c>
      <c r="F47" s="10" t="s">
        <v>35</v>
      </c>
      <c r="G47" s="12" t="n">
        <v>45316</v>
      </c>
      <c r="H47" s="12" t="n">
        <v>45320</v>
      </c>
      <c r="I47" s="9" t="n">
        <v>4</v>
      </c>
      <c r="J47" s="8" t="s">
        <v>17</v>
      </c>
      <c r="K47" s="10" t="s">
        <v>40</v>
      </c>
    </row>
    <row r="48" customFormat="false" ht="15" hidden="false" customHeight="false" outlineLevel="0" collapsed="false">
      <c r="A48" s="4" t="s">
        <v>87</v>
      </c>
      <c r="B48" s="4" t="s">
        <v>68</v>
      </c>
      <c r="C48" s="5" t="s">
        <v>20</v>
      </c>
      <c r="D48" s="11" t="s">
        <v>21</v>
      </c>
      <c r="E48" s="4" t="s">
        <v>15</v>
      </c>
      <c r="F48" s="5" t="s">
        <v>16</v>
      </c>
      <c r="G48" s="7" t="n">
        <v>45325</v>
      </c>
      <c r="H48" s="7" t="n">
        <v>45334</v>
      </c>
      <c r="I48" s="4" t="n">
        <v>9</v>
      </c>
      <c r="J48" s="8" t="s">
        <v>17</v>
      </c>
      <c r="K48" s="5" t="s">
        <v>18</v>
      </c>
    </row>
    <row r="49" customFormat="false" ht="15" hidden="false" customHeight="false" outlineLevel="0" collapsed="false">
      <c r="A49" s="9" t="s">
        <v>88</v>
      </c>
      <c r="B49" s="9" t="s">
        <v>89</v>
      </c>
      <c r="C49" s="10" t="s">
        <v>13</v>
      </c>
      <c r="D49" s="15" t="s">
        <v>46</v>
      </c>
      <c r="E49" s="9" t="s">
        <v>29</v>
      </c>
      <c r="F49" s="10" t="s">
        <v>35</v>
      </c>
      <c r="G49" s="12" t="n">
        <v>45331</v>
      </c>
      <c r="H49" s="12" t="n">
        <v>45333</v>
      </c>
      <c r="I49" s="9" t="n">
        <v>2</v>
      </c>
      <c r="J49" s="8" t="s">
        <v>17</v>
      </c>
      <c r="K49" s="10" t="s">
        <v>18</v>
      </c>
    </row>
    <row r="50" customFormat="false" ht="15" hidden="false" customHeight="false" outlineLevel="0" collapsed="false">
      <c r="A50" s="4" t="s">
        <v>90</v>
      </c>
      <c r="B50" s="4" t="s">
        <v>89</v>
      </c>
      <c r="C50" s="5" t="s">
        <v>24</v>
      </c>
      <c r="D50" s="6" t="s">
        <v>14</v>
      </c>
      <c r="E50" s="4" t="s">
        <v>29</v>
      </c>
      <c r="F50" s="5" t="s">
        <v>16</v>
      </c>
      <c r="G50" s="7" t="n">
        <v>45332</v>
      </c>
      <c r="H50" s="7" t="n">
        <v>45334</v>
      </c>
      <c r="I50" s="4" t="n">
        <v>2</v>
      </c>
      <c r="J50" s="8" t="s">
        <v>17</v>
      </c>
      <c r="K50" s="5" t="s">
        <v>18</v>
      </c>
    </row>
    <row r="51" customFormat="false" ht="15" hidden="false" customHeight="false" outlineLevel="0" collapsed="false">
      <c r="A51" s="9" t="s">
        <v>91</v>
      </c>
      <c r="B51" s="9" t="s">
        <v>89</v>
      </c>
      <c r="C51" s="10" t="s">
        <v>45</v>
      </c>
      <c r="D51" s="11" t="s">
        <v>21</v>
      </c>
      <c r="E51" s="9" t="s">
        <v>48</v>
      </c>
      <c r="F51" s="10" t="s">
        <v>35</v>
      </c>
      <c r="G51" s="12" t="n">
        <v>45328</v>
      </c>
      <c r="H51" s="12" t="n">
        <v>45337</v>
      </c>
      <c r="I51" s="9" t="n">
        <v>9</v>
      </c>
      <c r="J51" s="8" t="s">
        <v>17</v>
      </c>
      <c r="K51" s="10" t="s">
        <v>30</v>
      </c>
    </row>
    <row r="52" customFormat="false" ht="15" hidden="false" customHeight="false" outlineLevel="0" collapsed="false">
      <c r="A52" s="4" t="s">
        <v>92</v>
      </c>
      <c r="B52" s="4" t="s">
        <v>89</v>
      </c>
      <c r="C52" s="5" t="s">
        <v>42</v>
      </c>
      <c r="D52" s="14" t="s">
        <v>37</v>
      </c>
      <c r="E52" s="4" t="s">
        <v>29</v>
      </c>
      <c r="F52" s="5" t="s">
        <v>58</v>
      </c>
      <c r="G52" s="7" t="n">
        <v>45331</v>
      </c>
      <c r="H52" s="4"/>
      <c r="I52" s="4" t="n">
        <v>81</v>
      </c>
      <c r="J52" s="13" t="s">
        <v>25</v>
      </c>
      <c r="K52" s="5" t="s">
        <v>49</v>
      </c>
    </row>
    <row r="53" customFormat="false" ht="15" hidden="false" customHeight="false" outlineLevel="0" collapsed="false">
      <c r="A53" s="9" t="s">
        <v>93</v>
      </c>
      <c r="B53" s="9" t="s">
        <v>89</v>
      </c>
      <c r="C53" s="10" t="s">
        <v>42</v>
      </c>
      <c r="D53" s="11" t="s">
        <v>21</v>
      </c>
      <c r="E53" s="9" t="s">
        <v>15</v>
      </c>
      <c r="F53" s="10" t="s">
        <v>77</v>
      </c>
      <c r="G53" s="12" t="n">
        <v>45328</v>
      </c>
      <c r="H53" s="9"/>
      <c r="I53" s="9" t="n">
        <v>84</v>
      </c>
      <c r="J53" s="13" t="s">
        <v>25</v>
      </c>
      <c r="K53" s="10" t="s">
        <v>18</v>
      </c>
    </row>
    <row r="54" customFormat="false" ht="15" hidden="false" customHeight="false" outlineLevel="0" collapsed="false">
      <c r="A54" s="4" t="s">
        <v>94</v>
      </c>
      <c r="B54" s="4" t="s">
        <v>89</v>
      </c>
      <c r="C54" s="5" t="s">
        <v>20</v>
      </c>
      <c r="D54" s="14" t="s">
        <v>37</v>
      </c>
      <c r="E54" s="4" t="s">
        <v>29</v>
      </c>
      <c r="F54" s="5" t="s">
        <v>16</v>
      </c>
      <c r="G54" s="7" t="n">
        <v>45333</v>
      </c>
      <c r="H54" s="7" t="n">
        <v>45334</v>
      </c>
      <c r="I54" s="4" t="n">
        <v>1</v>
      </c>
      <c r="J54" s="8" t="s">
        <v>17</v>
      </c>
      <c r="K54" s="5" t="s">
        <v>30</v>
      </c>
    </row>
    <row r="55" customFormat="false" ht="15" hidden="false" customHeight="false" outlineLevel="0" collapsed="false">
      <c r="A55" s="9" t="s">
        <v>95</v>
      </c>
      <c r="B55" s="9" t="s">
        <v>89</v>
      </c>
      <c r="C55" s="10" t="s">
        <v>39</v>
      </c>
      <c r="D55" s="6" t="s">
        <v>14</v>
      </c>
      <c r="E55" s="9" t="s">
        <v>48</v>
      </c>
      <c r="F55" s="10" t="s">
        <v>33</v>
      </c>
      <c r="G55" s="12" t="n">
        <v>45327</v>
      </c>
      <c r="H55" s="9"/>
      <c r="I55" s="9" t="n">
        <v>85</v>
      </c>
      <c r="J55" s="13" t="s">
        <v>25</v>
      </c>
      <c r="K55" s="10" t="s">
        <v>40</v>
      </c>
    </row>
    <row r="56" customFormat="false" ht="15" hidden="false" customHeight="false" outlineLevel="0" collapsed="false">
      <c r="A56" s="4" t="s">
        <v>96</v>
      </c>
      <c r="B56" s="4" t="s">
        <v>89</v>
      </c>
      <c r="C56" s="5" t="s">
        <v>45</v>
      </c>
      <c r="D56" s="11" t="s">
        <v>21</v>
      </c>
      <c r="E56" s="4" t="s">
        <v>15</v>
      </c>
      <c r="F56" s="5" t="s">
        <v>16</v>
      </c>
      <c r="G56" s="7" t="n">
        <v>45335</v>
      </c>
      <c r="H56" s="7" t="n">
        <v>45348</v>
      </c>
      <c r="I56" s="4" t="n">
        <v>13</v>
      </c>
      <c r="J56" s="13" t="s">
        <v>25</v>
      </c>
      <c r="K56" s="5" t="s">
        <v>18</v>
      </c>
    </row>
    <row r="57" customFormat="false" ht="15" hidden="false" customHeight="false" outlineLevel="0" collapsed="false">
      <c r="A57" s="9" t="s">
        <v>97</v>
      </c>
      <c r="B57" s="9" t="s">
        <v>89</v>
      </c>
      <c r="C57" s="10" t="s">
        <v>42</v>
      </c>
      <c r="D57" s="11" t="s">
        <v>21</v>
      </c>
      <c r="E57" s="9" t="s">
        <v>48</v>
      </c>
      <c r="F57" s="10" t="s">
        <v>16</v>
      </c>
      <c r="G57" s="12" t="n">
        <v>45329</v>
      </c>
      <c r="H57" s="12" t="n">
        <v>45340</v>
      </c>
      <c r="I57" s="9" t="n">
        <v>11</v>
      </c>
      <c r="J57" s="13" t="s">
        <v>25</v>
      </c>
      <c r="K57" s="10" t="s">
        <v>49</v>
      </c>
    </row>
    <row r="58" customFormat="false" ht="15" hidden="false" customHeight="false" outlineLevel="0" collapsed="false">
      <c r="A58" s="4" t="s">
        <v>98</v>
      </c>
      <c r="B58" s="4" t="s">
        <v>89</v>
      </c>
      <c r="C58" s="5" t="s">
        <v>28</v>
      </c>
      <c r="D58" s="14" t="s">
        <v>37</v>
      </c>
      <c r="E58" s="4" t="s">
        <v>15</v>
      </c>
      <c r="F58" s="5" t="s">
        <v>16</v>
      </c>
      <c r="G58" s="7" t="n">
        <v>45333</v>
      </c>
      <c r="H58" s="7" t="n">
        <v>45338</v>
      </c>
      <c r="I58" s="4" t="n">
        <v>5</v>
      </c>
      <c r="J58" s="13" t="s">
        <v>25</v>
      </c>
      <c r="K58" s="5" t="s">
        <v>30</v>
      </c>
    </row>
    <row r="59" customFormat="false" ht="15" hidden="false" customHeight="false" outlineLevel="0" collapsed="false">
      <c r="A59" s="9" t="s">
        <v>99</v>
      </c>
      <c r="B59" s="9" t="s">
        <v>89</v>
      </c>
      <c r="C59" s="10" t="s">
        <v>28</v>
      </c>
      <c r="D59" s="6" t="s">
        <v>14</v>
      </c>
      <c r="E59" s="9" t="s">
        <v>15</v>
      </c>
      <c r="F59" s="10" t="s">
        <v>16</v>
      </c>
      <c r="G59" s="12" t="n">
        <v>45327</v>
      </c>
      <c r="H59" s="12" t="n">
        <v>45333</v>
      </c>
      <c r="I59" s="9" t="n">
        <v>6</v>
      </c>
      <c r="J59" s="13" t="s">
        <v>25</v>
      </c>
      <c r="K59" s="10" t="s">
        <v>40</v>
      </c>
    </row>
    <row r="60" customFormat="false" ht="15" hidden="false" customHeight="false" outlineLevel="0" collapsed="false">
      <c r="A60" s="4" t="s">
        <v>100</v>
      </c>
      <c r="B60" s="4" t="s">
        <v>89</v>
      </c>
      <c r="C60" s="5" t="s">
        <v>28</v>
      </c>
      <c r="D60" s="15" t="s">
        <v>46</v>
      </c>
      <c r="E60" s="4" t="s">
        <v>15</v>
      </c>
      <c r="F60" s="5" t="s">
        <v>16</v>
      </c>
      <c r="G60" s="7" t="n">
        <v>45339</v>
      </c>
      <c r="H60" s="7" t="n">
        <v>45345</v>
      </c>
      <c r="I60" s="4" t="n">
        <v>6</v>
      </c>
      <c r="J60" s="8" t="s">
        <v>17</v>
      </c>
      <c r="K60" s="5" t="s">
        <v>26</v>
      </c>
    </row>
    <row r="61" customFormat="false" ht="15" hidden="false" customHeight="false" outlineLevel="0" collapsed="false">
      <c r="A61" s="9" t="s">
        <v>101</v>
      </c>
      <c r="B61" s="9" t="s">
        <v>89</v>
      </c>
      <c r="C61" s="10" t="s">
        <v>24</v>
      </c>
      <c r="D61" s="11" t="s">
        <v>21</v>
      </c>
      <c r="E61" s="9" t="s">
        <v>29</v>
      </c>
      <c r="F61" s="10" t="s">
        <v>16</v>
      </c>
      <c r="G61" s="12" t="n">
        <v>45328</v>
      </c>
      <c r="H61" s="12" t="n">
        <v>45339</v>
      </c>
      <c r="I61" s="9" t="n">
        <v>11</v>
      </c>
      <c r="J61" s="13" t="s">
        <v>25</v>
      </c>
      <c r="K61" s="10" t="s">
        <v>30</v>
      </c>
    </row>
    <row r="62" customFormat="false" ht="15" hidden="false" customHeight="false" outlineLevel="0" collapsed="false">
      <c r="A62" s="4" t="s">
        <v>102</v>
      </c>
      <c r="B62" s="4" t="s">
        <v>89</v>
      </c>
      <c r="C62" s="5" t="s">
        <v>39</v>
      </c>
      <c r="D62" s="11" t="s">
        <v>21</v>
      </c>
      <c r="E62" s="4" t="s">
        <v>29</v>
      </c>
      <c r="F62" s="5" t="s">
        <v>33</v>
      </c>
      <c r="G62" s="7" t="n">
        <v>45335</v>
      </c>
      <c r="H62" s="4"/>
      <c r="I62" s="4" t="n">
        <v>77</v>
      </c>
      <c r="J62" s="13" t="s">
        <v>25</v>
      </c>
      <c r="K62" s="5" t="s">
        <v>26</v>
      </c>
    </row>
    <row r="63" customFormat="false" ht="15" hidden="false" customHeight="false" outlineLevel="0" collapsed="false">
      <c r="A63" s="9" t="s">
        <v>103</v>
      </c>
      <c r="B63" s="9" t="s">
        <v>89</v>
      </c>
      <c r="C63" s="10" t="s">
        <v>13</v>
      </c>
      <c r="D63" s="6" t="s">
        <v>14</v>
      </c>
      <c r="E63" s="9" t="s">
        <v>48</v>
      </c>
      <c r="F63" s="10" t="s">
        <v>16</v>
      </c>
      <c r="G63" s="12" t="n">
        <v>45331</v>
      </c>
      <c r="H63" s="12" t="n">
        <v>45332</v>
      </c>
      <c r="I63" s="9" t="n">
        <v>1</v>
      </c>
      <c r="J63" s="8" t="s">
        <v>17</v>
      </c>
      <c r="K63" s="10" t="s">
        <v>18</v>
      </c>
    </row>
    <row r="64" customFormat="false" ht="15" hidden="false" customHeight="false" outlineLevel="0" collapsed="false">
      <c r="A64" s="4" t="s">
        <v>104</v>
      </c>
      <c r="B64" s="4" t="s">
        <v>89</v>
      </c>
      <c r="C64" s="5" t="s">
        <v>13</v>
      </c>
      <c r="D64" s="11" t="s">
        <v>21</v>
      </c>
      <c r="E64" s="4" t="s">
        <v>15</v>
      </c>
      <c r="F64" s="5" t="s">
        <v>16</v>
      </c>
      <c r="G64" s="7" t="n">
        <v>45336</v>
      </c>
      <c r="H64" s="7" t="n">
        <v>45343</v>
      </c>
      <c r="I64" s="4" t="n">
        <v>7</v>
      </c>
      <c r="J64" s="8" t="s">
        <v>17</v>
      </c>
      <c r="K64" s="5" t="s">
        <v>49</v>
      </c>
    </row>
    <row r="65" customFormat="false" ht="15" hidden="false" customHeight="false" outlineLevel="0" collapsed="false">
      <c r="A65" s="9" t="s">
        <v>105</v>
      </c>
      <c r="B65" s="9" t="s">
        <v>89</v>
      </c>
      <c r="C65" s="10" t="s">
        <v>20</v>
      </c>
      <c r="D65" s="15" t="s">
        <v>46</v>
      </c>
      <c r="E65" s="9" t="s">
        <v>29</v>
      </c>
      <c r="F65" s="10" t="s">
        <v>77</v>
      </c>
      <c r="G65" s="12" t="n">
        <v>45333</v>
      </c>
      <c r="H65" s="9"/>
      <c r="I65" s="9" t="n">
        <v>79</v>
      </c>
      <c r="J65" s="13" t="s">
        <v>25</v>
      </c>
      <c r="K65" s="10" t="s">
        <v>18</v>
      </c>
    </row>
    <row r="66" customFormat="false" ht="15" hidden="false" customHeight="false" outlineLevel="0" collapsed="false">
      <c r="A66" s="4" t="s">
        <v>106</v>
      </c>
      <c r="B66" s="4" t="s">
        <v>89</v>
      </c>
      <c r="C66" s="5" t="s">
        <v>28</v>
      </c>
      <c r="D66" s="15" t="s">
        <v>46</v>
      </c>
      <c r="E66" s="4" t="s">
        <v>15</v>
      </c>
      <c r="F66" s="5" t="s">
        <v>35</v>
      </c>
      <c r="G66" s="7" t="n">
        <v>45338</v>
      </c>
      <c r="H66" s="7" t="n">
        <v>45360</v>
      </c>
      <c r="I66" s="4" t="n">
        <v>22</v>
      </c>
      <c r="J66" s="13" t="s">
        <v>25</v>
      </c>
      <c r="K66" s="5" t="s">
        <v>30</v>
      </c>
    </row>
    <row r="67" customFormat="false" ht="15" hidden="false" customHeight="false" outlineLevel="0" collapsed="false">
      <c r="A67" s="9" t="s">
        <v>107</v>
      </c>
      <c r="B67" s="9" t="s">
        <v>89</v>
      </c>
      <c r="C67" s="10" t="s">
        <v>13</v>
      </c>
      <c r="D67" s="11" t="s">
        <v>21</v>
      </c>
      <c r="E67" s="9" t="s">
        <v>48</v>
      </c>
      <c r="F67" s="10" t="s">
        <v>35</v>
      </c>
      <c r="G67" s="12" t="n">
        <v>45336</v>
      </c>
      <c r="H67" s="12" t="n">
        <v>45340</v>
      </c>
      <c r="I67" s="9" t="n">
        <v>4</v>
      </c>
      <c r="J67" s="8" t="s">
        <v>17</v>
      </c>
      <c r="K67" s="10" t="s">
        <v>30</v>
      </c>
    </row>
    <row r="68" customFormat="false" ht="15" hidden="false" customHeight="false" outlineLevel="0" collapsed="false">
      <c r="A68" s="4" t="s">
        <v>108</v>
      </c>
      <c r="B68" s="4" t="s">
        <v>89</v>
      </c>
      <c r="C68" s="5" t="s">
        <v>42</v>
      </c>
      <c r="D68" s="11" t="s">
        <v>21</v>
      </c>
      <c r="E68" s="4" t="s">
        <v>15</v>
      </c>
      <c r="F68" s="5" t="s">
        <v>16</v>
      </c>
      <c r="G68" s="7" t="n">
        <v>45338</v>
      </c>
      <c r="H68" s="7" t="n">
        <v>45341</v>
      </c>
      <c r="I68" s="4" t="n">
        <v>3</v>
      </c>
      <c r="J68" s="8" t="s">
        <v>17</v>
      </c>
      <c r="K68" s="5" t="s">
        <v>40</v>
      </c>
    </row>
    <row r="69" customFormat="false" ht="15" hidden="false" customHeight="false" outlineLevel="0" collapsed="false">
      <c r="A69" s="9" t="s">
        <v>109</v>
      </c>
      <c r="B69" s="9" t="s">
        <v>89</v>
      </c>
      <c r="C69" s="10" t="s">
        <v>24</v>
      </c>
      <c r="D69" s="11" t="s">
        <v>21</v>
      </c>
      <c r="E69" s="9" t="s">
        <v>48</v>
      </c>
      <c r="F69" s="10" t="s">
        <v>16</v>
      </c>
      <c r="G69" s="12" t="n">
        <v>45329</v>
      </c>
      <c r="H69" s="12" t="n">
        <v>45337</v>
      </c>
      <c r="I69" s="9" t="n">
        <v>8</v>
      </c>
      <c r="J69" s="8" t="s">
        <v>17</v>
      </c>
      <c r="K69" s="10" t="s">
        <v>49</v>
      </c>
    </row>
    <row r="70" customFormat="false" ht="15" hidden="false" customHeight="false" outlineLevel="0" collapsed="false">
      <c r="A70" s="4" t="s">
        <v>110</v>
      </c>
      <c r="B70" s="4" t="s">
        <v>89</v>
      </c>
      <c r="C70" s="5" t="s">
        <v>39</v>
      </c>
      <c r="D70" s="11" t="s">
        <v>21</v>
      </c>
      <c r="E70" s="4" t="s">
        <v>22</v>
      </c>
      <c r="F70" s="5" t="s">
        <v>16</v>
      </c>
      <c r="G70" s="7" t="n">
        <v>45333</v>
      </c>
      <c r="H70" s="7" t="n">
        <v>45344</v>
      </c>
      <c r="I70" s="4" t="n">
        <v>11</v>
      </c>
      <c r="J70" s="13" t="s">
        <v>25</v>
      </c>
      <c r="K70" s="5" t="s">
        <v>49</v>
      </c>
    </row>
    <row r="71" customFormat="false" ht="15" hidden="false" customHeight="false" outlineLevel="0" collapsed="false">
      <c r="A71" s="9" t="s">
        <v>111</v>
      </c>
      <c r="B71" s="9" t="s">
        <v>112</v>
      </c>
      <c r="C71" s="10" t="s">
        <v>42</v>
      </c>
      <c r="D71" s="11" t="s">
        <v>21</v>
      </c>
      <c r="E71" s="9" t="s">
        <v>29</v>
      </c>
      <c r="F71" s="10" t="s">
        <v>16</v>
      </c>
      <c r="G71" s="12" t="n">
        <v>45353</v>
      </c>
      <c r="H71" s="12" t="n">
        <v>45363</v>
      </c>
      <c r="I71" s="9" t="n">
        <v>10</v>
      </c>
      <c r="J71" s="8" t="s">
        <v>17</v>
      </c>
      <c r="K71" s="10" t="s">
        <v>26</v>
      </c>
    </row>
    <row r="72" customFormat="false" ht="15" hidden="false" customHeight="false" outlineLevel="0" collapsed="false">
      <c r="A72" s="4" t="s">
        <v>113</v>
      </c>
      <c r="B72" s="4" t="s">
        <v>112</v>
      </c>
      <c r="C72" s="5" t="s">
        <v>24</v>
      </c>
      <c r="D72" s="6" t="s">
        <v>14</v>
      </c>
      <c r="E72" s="4" t="s">
        <v>15</v>
      </c>
      <c r="F72" s="5" t="s">
        <v>16</v>
      </c>
      <c r="G72" s="7" t="n">
        <v>45342</v>
      </c>
      <c r="H72" s="7" t="n">
        <v>45344</v>
      </c>
      <c r="I72" s="4" t="n">
        <v>2</v>
      </c>
      <c r="J72" s="8" t="s">
        <v>17</v>
      </c>
      <c r="K72" s="5" t="s">
        <v>40</v>
      </c>
    </row>
    <row r="73" customFormat="false" ht="15" hidden="false" customHeight="false" outlineLevel="0" collapsed="false">
      <c r="A73" s="9" t="s">
        <v>114</v>
      </c>
      <c r="B73" s="9" t="s">
        <v>112</v>
      </c>
      <c r="C73" s="10" t="s">
        <v>13</v>
      </c>
      <c r="D73" s="15" t="s">
        <v>46</v>
      </c>
      <c r="E73" s="9" t="s">
        <v>29</v>
      </c>
      <c r="F73" s="10" t="s">
        <v>77</v>
      </c>
      <c r="G73" s="12" t="n">
        <v>45348</v>
      </c>
      <c r="H73" s="9"/>
      <c r="I73" s="9" t="n">
        <v>64</v>
      </c>
      <c r="J73" s="13" t="s">
        <v>25</v>
      </c>
      <c r="K73" s="10" t="s">
        <v>49</v>
      </c>
    </row>
    <row r="74" customFormat="false" ht="15" hidden="false" customHeight="false" outlineLevel="0" collapsed="false">
      <c r="A74" s="4" t="s">
        <v>115</v>
      </c>
      <c r="B74" s="4" t="s">
        <v>112</v>
      </c>
      <c r="C74" s="5" t="s">
        <v>62</v>
      </c>
      <c r="D74" s="11" t="s">
        <v>21</v>
      </c>
      <c r="E74" s="4" t="s">
        <v>15</v>
      </c>
      <c r="F74" s="5" t="s">
        <v>16</v>
      </c>
      <c r="G74" s="7" t="n">
        <v>45352</v>
      </c>
      <c r="H74" s="7" t="n">
        <v>45357</v>
      </c>
      <c r="I74" s="4" t="n">
        <v>5</v>
      </c>
      <c r="J74" s="8" t="s">
        <v>17</v>
      </c>
      <c r="K74" s="5" t="s">
        <v>49</v>
      </c>
    </row>
    <row r="75" customFormat="false" ht="15" hidden="false" customHeight="false" outlineLevel="0" collapsed="false">
      <c r="A75" s="9" t="s">
        <v>116</v>
      </c>
      <c r="B75" s="9" t="s">
        <v>112</v>
      </c>
      <c r="C75" s="10" t="s">
        <v>13</v>
      </c>
      <c r="D75" s="6" t="s">
        <v>14</v>
      </c>
      <c r="E75" s="9" t="s">
        <v>15</v>
      </c>
      <c r="F75" s="10" t="s">
        <v>77</v>
      </c>
      <c r="G75" s="12" t="n">
        <v>45353</v>
      </c>
      <c r="H75" s="9"/>
      <c r="I75" s="9" t="n">
        <v>59</v>
      </c>
      <c r="J75" s="13" t="s">
        <v>25</v>
      </c>
      <c r="K75" s="10" t="s">
        <v>49</v>
      </c>
    </row>
    <row r="76" customFormat="false" ht="15" hidden="false" customHeight="false" outlineLevel="0" collapsed="false">
      <c r="A76" s="4" t="s">
        <v>117</v>
      </c>
      <c r="B76" s="4" t="s">
        <v>112</v>
      </c>
      <c r="C76" s="5" t="s">
        <v>28</v>
      </c>
      <c r="D76" s="6" t="s">
        <v>14</v>
      </c>
      <c r="E76" s="4" t="s">
        <v>48</v>
      </c>
      <c r="F76" s="5" t="s">
        <v>16</v>
      </c>
      <c r="G76" s="7" t="n">
        <v>45348</v>
      </c>
      <c r="H76" s="7" t="n">
        <v>45349</v>
      </c>
      <c r="I76" s="4" t="n">
        <v>1</v>
      </c>
      <c r="J76" s="8" t="s">
        <v>17</v>
      </c>
      <c r="K76" s="5" t="s">
        <v>26</v>
      </c>
    </row>
    <row r="77" customFormat="false" ht="15" hidden="false" customHeight="false" outlineLevel="0" collapsed="false">
      <c r="A77" s="9" t="s">
        <v>118</v>
      </c>
      <c r="B77" s="9" t="s">
        <v>112</v>
      </c>
      <c r="C77" s="10" t="s">
        <v>39</v>
      </c>
      <c r="D77" s="11" t="s">
        <v>21</v>
      </c>
      <c r="E77" s="9" t="s">
        <v>48</v>
      </c>
      <c r="F77" s="10" t="s">
        <v>16</v>
      </c>
      <c r="G77" s="12" t="n">
        <v>45349</v>
      </c>
      <c r="H77" s="12" t="n">
        <v>45357</v>
      </c>
      <c r="I77" s="9" t="n">
        <v>8</v>
      </c>
      <c r="J77" s="8" t="s">
        <v>17</v>
      </c>
      <c r="K77" s="10" t="s">
        <v>49</v>
      </c>
    </row>
    <row r="78" customFormat="false" ht="15" hidden="false" customHeight="false" outlineLevel="0" collapsed="false">
      <c r="A78" s="4" t="s">
        <v>119</v>
      </c>
      <c r="B78" s="4" t="s">
        <v>112</v>
      </c>
      <c r="C78" s="5" t="s">
        <v>62</v>
      </c>
      <c r="D78" s="11" t="s">
        <v>21</v>
      </c>
      <c r="E78" s="4" t="s">
        <v>15</v>
      </c>
      <c r="F78" s="5" t="s">
        <v>16</v>
      </c>
      <c r="G78" s="7" t="n">
        <v>45354</v>
      </c>
      <c r="H78" s="7" t="n">
        <v>45367</v>
      </c>
      <c r="I78" s="4" t="n">
        <v>13</v>
      </c>
      <c r="J78" s="13" t="s">
        <v>25</v>
      </c>
      <c r="K78" s="5" t="s">
        <v>40</v>
      </c>
    </row>
    <row r="79" customFormat="false" ht="15" hidden="false" customHeight="false" outlineLevel="0" collapsed="false">
      <c r="A79" s="9" t="s">
        <v>120</v>
      </c>
      <c r="B79" s="9" t="s">
        <v>112</v>
      </c>
      <c r="C79" s="10" t="s">
        <v>24</v>
      </c>
      <c r="D79" s="11" t="s">
        <v>21</v>
      </c>
      <c r="E79" s="9" t="s">
        <v>15</v>
      </c>
      <c r="F79" s="10" t="s">
        <v>16</v>
      </c>
      <c r="G79" s="12" t="n">
        <v>45344</v>
      </c>
      <c r="H79" s="12" t="n">
        <v>45356</v>
      </c>
      <c r="I79" s="9" t="n">
        <v>12</v>
      </c>
      <c r="J79" s="13" t="s">
        <v>25</v>
      </c>
      <c r="K79" s="10" t="s">
        <v>18</v>
      </c>
    </row>
    <row r="80" customFormat="false" ht="15" hidden="false" customHeight="false" outlineLevel="0" collapsed="false">
      <c r="A80" s="4" t="s">
        <v>121</v>
      </c>
      <c r="B80" s="4" t="s">
        <v>112</v>
      </c>
      <c r="C80" s="5" t="s">
        <v>28</v>
      </c>
      <c r="D80" s="11" t="s">
        <v>21</v>
      </c>
      <c r="E80" s="4" t="s">
        <v>29</v>
      </c>
      <c r="F80" s="5" t="s">
        <v>16</v>
      </c>
      <c r="G80" s="7" t="n">
        <v>45352</v>
      </c>
      <c r="H80" s="7" t="n">
        <v>45355</v>
      </c>
      <c r="I80" s="4" t="n">
        <v>3</v>
      </c>
      <c r="J80" s="8" t="s">
        <v>17</v>
      </c>
      <c r="K80" s="5" t="s">
        <v>30</v>
      </c>
    </row>
    <row r="81" customFormat="false" ht="15" hidden="false" customHeight="false" outlineLevel="0" collapsed="false">
      <c r="A81" s="9" t="s">
        <v>122</v>
      </c>
      <c r="B81" s="9" t="s">
        <v>112</v>
      </c>
      <c r="C81" s="10" t="s">
        <v>28</v>
      </c>
      <c r="D81" s="6" t="s">
        <v>14</v>
      </c>
      <c r="E81" s="9" t="s">
        <v>48</v>
      </c>
      <c r="F81" s="10" t="s">
        <v>58</v>
      </c>
      <c r="G81" s="12" t="n">
        <v>45343</v>
      </c>
      <c r="H81" s="9"/>
      <c r="I81" s="9" t="n">
        <v>69</v>
      </c>
      <c r="J81" s="13" t="s">
        <v>25</v>
      </c>
      <c r="K81" s="10" t="s">
        <v>49</v>
      </c>
    </row>
    <row r="82" customFormat="false" ht="15" hidden="false" customHeight="false" outlineLevel="0" collapsed="false">
      <c r="A82" s="4" t="s">
        <v>123</v>
      </c>
      <c r="B82" s="4" t="s">
        <v>112</v>
      </c>
      <c r="C82" s="5" t="s">
        <v>39</v>
      </c>
      <c r="D82" s="11" t="s">
        <v>21</v>
      </c>
      <c r="E82" s="4" t="s">
        <v>15</v>
      </c>
      <c r="F82" s="5" t="s">
        <v>58</v>
      </c>
      <c r="G82" s="7" t="n">
        <v>45347</v>
      </c>
      <c r="H82" s="4"/>
      <c r="I82" s="4" t="n">
        <v>65</v>
      </c>
      <c r="J82" s="13" t="s">
        <v>25</v>
      </c>
      <c r="K82" s="5" t="s">
        <v>18</v>
      </c>
    </row>
    <row r="83" customFormat="false" ht="15" hidden="false" customHeight="false" outlineLevel="0" collapsed="false">
      <c r="A83" s="9" t="s">
        <v>124</v>
      </c>
      <c r="B83" s="9" t="s">
        <v>112</v>
      </c>
      <c r="C83" s="10" t="s">
        <v>20</v>
      </c>
      <c r="D83" s="11" t="s">
        <v>21</v>
      </c>
      <c r="E83" s="9" t="s">
        <v>22</v>
      </c>
      <c r="F83" s="10" t="s">
        <v>35</v>
      </c>
      <c r="G83" s="12" t="n">
        <v>45347</v>
      </c>
      <c r="H83" s="12" t="n">
        <v>45360</v>
      </c>
      <c r="I83" s="9" t="n">
        <v>13</v>
      </c>
      <c r="J83" s="13" t="s">
        <v>25</v>
      </c>
      <c r="K83" s="10" t="s">
        <v>18</v>
      </c>
    </row>
    <row r="84" customFormat="false" ht="15" hidden="false" customHeight="false" outlineLevel="0" collapsed="false">
      <c r="A84" s="4" t="s">
        <v>125</v>
      </c>
      <c r="B84" s="4" t="s">
        <v>112</v>
      </c>
      <c r="C84" s="5" t="s">
        <v>45</v>
      </c>
      <c r="D84" s="6" t="s">
        <v>14</v>
      </c>
      <c r="E84" s="4" t="s">
        <v>22</v>
      </c>
      <c r="F84" s="5" t="s">
        <v>16</v>
      </c>
      <c r="G84" s="7" t="n">
        <v>45353</v>
      </c>
      <c r="H84" s="7" t="n">
        <v>45358</v>
      </c>
      <c r="I84" s="4" t="n">
        <v>5</v>
      </c>
      <c r="J84" s="8" t="s">
        <v>17</v>
      </c>
      <c r="K84" s="5" t="s">
        <v>18</v>
      </c>
    </row>
    <row r="85" customFormat="false" ht="15" hidden="false" customHeight="false" outlineLevel="0" collapsed="false">
      <c r="A85" s="9" t="s">
        <v>126</v>
      </c>
      <c r="B85" s="9" t="s">
        <v>112</v>
      </c>
      <c r="C85" s="10" t="s">
        <v>28</v>
      </c>
      <c r="D85" s="11" t="s">
        <v>21</v>
      </c>
      <c r="E85" s="9" t="s">
        <v>15</v>
      </c>
      <c r="F85" s="10" t="s">
        <v>16</v>
      </c>
      <c r="G85" s="12" t="n">
        <v>45344</v>
      </c>
      <c r="H85" s="12" t="n">
        <v>45350</v>
      </c>
      <c r="I85" s="9" t="n">
        <v>6</v>
      </c>
      <c r="J85" s="8" t="s">
        <v>17</v>
      </c>
      <c r="K85" s="10" t="s">
        <v>30</v>
      </c>
    </row>
    <row r="86" customFormat="false" ht="15" hidden="false" customHeight="false" outlineLevel="0" collapsed="false">
      <c r="A86" s="4" t="s">
        <v>127</v>
      </c>
      <c r="B86" s="4" t="s">
        <v>112</v>
      </c>
      <c r="C86" s="5" t="s">
        <v>45</v>
      </c>
      <c r="D86" s="11" t="s">
        <v>21</v>
      </c>
      <c r="E86" s="4" t="s">
        <v>22</v>
      </c>
      <c r="F86" s="5" t="s">
        <v>16</v>
      </c>
      <c r="G86" s="7" t="n">
        <v>45351</v>
      </c>
      <c r="H86" s="7" t="n">
        <v>45362</v>
      </c>
      <c r="I86" s="4" t="n">
        <v>11</v>
      </c>
      <c r="J86" s="13" t="s">
        <v>25</v>
      </c>
      <c r="K86" s="5" t="s">
        <v>40</v>
      </c>
    </row>
    <row r="87" customFormat="false" ht="15" hidden="false" customHeight="false" outlineLevel="0" collapsed="false">
      <c r="A87" s="9" t="s">
        <v>128</v>
      </c>
      <c r="B87" s="9" t="s">
        <v>112</v>
      </c>
      <c r="C87" s="10" t="s">
        <v>20</v>
      </c>
      <c r="D87" s="15" t="s">
        <v>46</v>
      </c>
      <c r="E87" s="9" t="s">
        <v>48</v>
      </c>
      <c r="F87" s="10" t="s">
        <v>33</v>
      </c>
      <c r="G87" s="12" t="n">
        <v>45349</v>
      </c>
      <c r="H87" s="9"/>
      <c r="I87" s="9" t="n">
        <v>63</v>
      </c>
      <c r="J87" s="13" t="s">
        <v>25</v>
      </c>
      <c r="K87" s="10" t="s">
        <v>49</v>
      </c>
    </row>
    <row r="88" customFormat="false" ht="15" hidden="false" customHeight="false" outlineLevel="0" collapsed="false">
      <c r="A88" s="4" t="s">
        <v>129</v>
      </c>
      <c r="B88" s="4" t="s">
        <v>112</v>
      </c>
      <c r="C88" s="5" t="s">
        <v>42</v>
      </c>
      <c r="D88" s="11" t="s">
        <v>21</v>
      </c>
      <c r="E88" s="4" t="s">
        <v>15</v>
      </c>
      <c r="F88" s="5" t="s">
        <v>58</v>
      </c>
      <c r="G88" s="7" t="n">
        <v>45347</v>
      </c>
      <c r="H88" s="4"/>
      <c r="I88" s="4" t="n">
        <v>65</v>
      </c>
      <c r="J88" s="13" t="s">
        <v>25</v>
      </c>
      <c r="K88" s="5" t="s">
        <v>49</v>
      </c>
    </row>
    <row r="89" customFormat="false" ht="15" hidden="false" customHeight="false" outlineLevel="0" collapsed="false">
      <c r="A89" s="9" t="s">
        <v>130</v>
      </c>
      <c r="B89" s="9" t="s">
        <v>112</v>
      </c>
      <c r="C89" s="10" t="s">
        <v>39</v>
      </c>
      <c r="D89" s="6" t="s">
        <v>14</v>
      </c>
      <c r="E89" s="9" t="s">
        <v>29</v>
      </c>
      <c r="F89" s="10" t="s">
        <v>16</v>
      </c>
      <c r="G89" s="12" t="n">
        <v>45348</v>
      </c>
      <c r="H89" s="12" t="n">
        <v>45352</v>
      </c>
      <c r="I89" s="9" t="n">
        <v>4</v>
      </c>
      <c r="J89" s="8" t="s">
        <v>17</v>
      </c>
      <c r="K89" s="10" t="s">
        <v>49</v>
      </c>
    </row>
    <row r="90" customFormat="false" ht="15" hidden="false" customHeight="false" outlineLevel="0" collapsed="false">
      <c r="A90" s="4" t="s">
        <v>131</v>
      </c>
      <c r="B90" s="4" t="s">
        <v>112</v>
      </c>
      <c r="C90" s="5" t="s">
        <v>62</v>
      </c>
      <c r="D90" s="6" t="s">
        <v>14</v>
      </c>
      <c r="E90" s="4" t="s">
        <v>48</v>
      </c>
      <c r="F90" s="5" t="s">
        <v>16</v>
      </c>
      <c r="G90" s="7" t="n">
        <v>45354</v>
      </c>
      <c r="H90" s="7" t="n">
        <v>45355</v>
      </c>
      <c r="I90" s="4" t="n">
        <v>1</v>
      </c>
      <c r="J90" s="8" t="s">
        <v>17</v>
      </c>
      <c r="K90" s="5" t="s">
        <v>26</v>
      </c>
    </row>
    <row r="91" customFormat="false" ht="15" hidden="false" customHeight="false" outlineLevel="0" collapsed="false">
      <c r="A91" s="9" t="s">
        <v>132</v>
      </c>
      <c r="B91" s="9" t="s">
        <v>112</v>
      </c>
      <c r="C91" s="10" t="s">
        <v>13</v>
      </c>
      <c r="D91" s="11" t="s">
        <v>21</v>
      </c>
      <c r="E91" s="9" t="s">
        <v>22</v>
      </c>
      <c r="F91" s="10" t="s">
        <v>33</v>
      </c>
      <c r="G91" s="12" t="n">
        <v>45344</v>
      </c>
      <c r="H91" s="9"/>
      <c r="I91" s="9" t="n">
        <v>68</v>
      </c>
      <c r="J91" s="13" t="s">
        <v>25</v>
      </c>
      <c r="K91" s="10" t="s">
        <v>26</v>
      </c>
    </row>
    <row r="92" customFormat="false" ht="15" hidden="false" customHeight="false" outlineLevel="0" collapsed="false">
      <c r="A92" s="4" t="s">
        <v>133</v>
      </c>
      <c r="B92" s="4" t="s">
        <v>112</v>
      </c>
      <c r="C92" s="5" t="s">
        <v>42</v>
      </c>
      <c r="D92" s="11" t="s">
        <v>21</v>
      </c>
      <c r="E92" s="4" t="s">
        <v>48</v>
      </c>
      <c r="F92" s="5" t="s">
        <v>16</v>
      </c>
      <c r="G92" s="7" t="n">
        <v>45341</v>
      </c>
      <c r="H92" s="7" t="n">
        <v>45349</v>
      </c>
      <c r="I92" s="4" t="n">
        <v>8</v>
      </c>
      <c r="J92" s="8" t="s">
        <v>17</v>
      </c>
      <c r="K92" s="5" t="s">
        <v>40</v>
      </c>
    </row>
    <row r="93" customFormat="false" ht="15" hidden="false" customHeight="false" outlineLevel="0" collapsed="false">
      <c r="A93" s="9" t="s">
        <v>134</v>
      </c>
      <c r="B93" s="9" t="s">
        <v>112</v>
      </c>
      <c r="C93" s="10" t="s">
        <v>24</v>
      </c>
      <c r="D93" s="6" t="s">
        <v>14</v>
      </c>
      <c r="E93" s="9" t="s">
        <v>15</v>
      </c>
      <c r="F93" s="10" t="s">
        <v>16</v>
      </c>
      <c r="G93" s="12" t="n">
        <v>45344</v>
      </c>
      <c r="H93" s="12" t="n">
        <v>45350</v>
      </c>
      <c r="I93" s="9" t="n">
        <v>6</v>
      </c>
      <c r="J93" s="13" t="s">
        <v>25</v>
      </c>
      <c r="K93" s="10" t="s">
        <v>30</v>
      </c>
    </row>
    <row r="94" customFormat="false" ht="15" hidden="false" customHeight="false" outlineLevel="0" collapsed="false">
      <c r="A94" s="4" t="s">
        <v>135</v>
      </c>
      <c r="B94" s="4" t="s">
        <v>112</v>
      </c>
      <c r="C94" s="5" t="s">
        <v>24</v>
      </c>
      <c r="D94" s="6" t="s">
        <v>14</v>
      </c>
      <c r="E94" s="4" t="s">
        <v>15</v>
      </c>
      <c r="F94" s="5" t="s">
        <v>35</v>
      </c>
      <c r="G94" s="7" t="n">
        <v>45342</v>
      </c>
      <c r="H94" s="7" t="n">
        <v>45343</v>
      </c>
      <c r="I94" s="4" t="n">
        <v>1</v>
      </c>
      <c r="J94" s="8" t="s">
        <v>17</v>
      </c>
      <c r="K94" s="5" t="s">
        <v>26</v>
      </c>
    </row>
    <row r="95" customFormat="false" ht="15" hidden="false" customHeight="false" outlineLevel="0" collapsed="false">
      <c r="A95" s="9" t="s">
        <v>136</v>
      </c>
      <c r="B95" s="9" t="s">
        <v>112</v>
      </c>
      <c r="C95" s="10" t="s">
        <v>28</v>
      </c>
      <c r="D95" s="11" t="s">
        <v>21</v>
      </c>
      <c r="E95" s="9" t="s">
        <v>48</v>
      </c>
      <c r="F95" s="10" t="s">
        <v>16</v>
      </c>
      <c r="G95" s="12" t="n">
        <v>45347</v>
      </c>
      <c r="H95" s="12" t="n">
        <v>45352</v>
      </c>
      <c r="I95" s="9" t="n">
        <v>5</v>
      </c>
      <c r="J95" s="8" t="s">
        <v>17</v>
      </c>
      <c r="K95" s="10" t="s">
        <v>26</v>
      </c>
    </row>
    <row r="96" customFormat="false" ht="15" hidden="false" customHeight="false" outlineLevel="0" collapsed="false">
      <c r="A96" s="4" t="s">
        <v>137</v>
      </c>
      <c r="B96" s="4" t="s">
        <v>138</v>
      </c>
      <c r="C96" s="5" t="s">
        <v>24</v>
      </c>
      <c r="D96" s="11" t="s">
        <v>21</v>
      </c>
      <c r="E96" s="4" t="s">
        <v>15</v>
      </c>
      <c r="F96" s="5" t="s">
        <v>58</v>
      </c>
      <c r="G96" s="7" t="n">
        <v>45367</v>
      </c>
      <c r="H96" s="4"/>
      <c r="I96" s="4" t="n">
        <v>45</v>
      </c>
      <c r="J96" s="13" t="s">
        <v>25</v>
      </c>
      <c r="K96" s="5" t="s">
        <v>18</v>
      </c>
    </row>
    <row r="97" customFormat="false" ht="15" hidden="false" customHeight="false" outlineLevel="0" collapsed="false">
      <c r="A97" s="9" t="s">
        <v>139</v>
      </c>
      <c r="B97" s="9" t="s">
        <v>138</v>
      </c>
      <c r="C97" s="10" t="s">
        <v>45</v>
      </c>
      <c r="D97" s="15" t="s">
        <v>46</v>
      </c>
      <c r="E97" s="9" t="s">
        <v>15</v>
      </c>
      <c r="F97" s="10" t="s">
        <v>16</v>
      </c>
      <c r="G97" s="12" t="n">
        <v>45355</v>
      </c>
      <c r="H97" s="12" t="n">
        <v>45365</v>
      </c>
      <c r="I97" s="9" t="n">
        <v>10</v>
      </c>
      <c r="J97" s="8" t="s">
        <v>17</v>
      </c>
      <c r="K97" s="10" t="s">
        <v>30</v>
      </c>
    </row>
    <row r="98" customFormat="false" ht="15" hidden="false" customHeight="false" outlineLevel="0" collapsed="false">
      <c r="A98" s="4" t="s">
        <v>140</v>
      </c>
      <c r="B98" s="4" t="s">
        <v>138</v>
      </c>
      <c r="C98" s="5" t="s">
        <v>62</v>
      </c>
      <c r="D98" s="14" t="s">
        <v>37</v>
      </c>
      <c r="E98" s="4" t="s">
        <v>15</v>
      </c>
      <c r="F98" s="5" t="s">
        <v>77</v>
      </c>
      <c r="G98" s="7" t="n">
        <v>45361</v>
      </c>
      <c r="H98" s="4"/>
      <c r="I98" s="4" t="n">
        <v>51</v>
      </c>
      <c r="J98" s="13" t="s">
        <v>25</v>
      </c>
      <c r="K98" s="5" t="s">
        <v>26</v>
      </c>
    </row>
    <row r="99" customFormat="false" ht="15" hidden="false" customHeight="false" outlineLevel="0" collapsed="false">
      <c r="A99" s="9" t="s">
        <v>141</v>
      </c>
      <c r="B99" s="9" t="s">
        <v>138</v>
      </c>
      <c r="C99" s="10" t="s">
        <v>42</v>
      </c>
      <c r="D99" s="11" t="s">
        <v>21</v>
      </c>
      <c r="E99" s="9" t="s">
        <v>29</v>
      </c>
      <c r="F99" s="10" t="s">
        <v>35</v>
      </c>
      <c r="G99" s="12" t="n">
        <v>45362</v>
      </c>
      <c r="H99" s="12" t="n">
        <v>45372</v>
      </c>
      <c r="I99" s="9" t="n">
        <v>10</v>
      </c>
      <c r="J99" s="8" t="s">
        <v>17</v>
      </c>
      <c r="K99" s="10" t="s">
        <v>49</v>
      </c>
    </row>
    <row r="100" customFormat="false" ht="15" hidden="false" customHeight="false" outlineLevel="0" collapsed="false">
      <c r="A100" s="4" t="s">
        <v>142</v>
      </c>
      <c r="B100" s="4" t="s">
        <v>138</v>
      </c>
      <c r="C100" s="5" t="s">
        <v>62</v>
      </c>
      <c r="D100" s="6" t="s">
        <v>14</v>
      </c>
      <c r="E100" s="4" t="s">
        <v>15</v>
      </c>
      <c r="F100" s="5" t="s">
        <v>16</v>
      </c>
      <c r="G100" s="7" t="n">
        <v>45364</v>
      </c>
      <c r="H100" s="7" t="n">
        <v>45371</v>
      </c>
      <c r="I100" s="4" t="n">
        <v>7</v>
      </c>
      <c r="J100" s="13" t="s">
        <v>25</v>
      </c>
      <c r="K100" s="5" t="s">
        <v>49</v>
      </c>
    </row>
    <row r="101" customFormat="false" ht="15" hidden="false" customHeight="false" outlineLevel="0" collapsed="false">
      <c r="A101" s="9" t="s">
        <v>143</v>
      </c>
      <c r="B101" s="9" t="s">
        <v>138</v>
      </c>
      <c r="C101" s="10" t="s">
        <v>13</v>
      </c>
      <c r="D101" s="11" t="s">
        <v>21</v>
      </c>
      <c r="E101" s="9" t="s">
        <v>15</v>
      </c>
      <c r="F101" s="10" t="s">
        <v>16</v>
      </c>
      <c r="G101" s="12" t="n">
        <v>45368</v>
      </c>
      <c r="H101" s="12" t="n">
        <v>45370</v>
      </c>
      <c r="I101" s="9" t="n">
        <v>2</v>
      </c>
      <c r="J101" s="8" t="s">
        <v>17</v>
      </c>
      <c r="K101" s="10" t="s">
        <v>30</v>
      </c>
    </row>
    <row r="102" customFormat="false" ht="15" hidden="false" customHeight="false" outlineLevel="0" collapsed="false">
      <c r="A102" s="4" t="s">
        <v>144</v>
      </c>
      <c r="B102" s="4" t="s">
        <v>138</v>
      </c>
      <c r="C102" s="5" t="s">
        <v>45</v>
      </c>
      <c r="D102" s="15" t="s">
        <v>46</v>
      </c>
      <c r="E102" s="4" t="s">
        <v>29</v>
      </c>
      <c r="F102" s="5" t="s">
        <v>16</v>
      </c>
      <c r="G102" s="7" t="n">
        <v>45364</v>
      </c>
      <c r="H102" s="7" t="n">
        <v>45384</v>
      </c>
      <c r="I102" s="4" t="n">
        <v>20</v>
      </c>
      <c r="J102" s="8" t="s">
        <v>17</v>
      </c>
      <c r="K102" s="5" t="s">
        <v>30</v>
      </c>
    </row>
    <row r="103" customFormat="false" ht="15" hidden="false" customHeight="false" outlineLevel="0" collapsed="false">
      <c r="A103" s="9" t="s">
        <v>145</v>
      </c>
      <c r="B103" s="9" t="s">
        <v>138</v>
      </c>
      <c r="C103" s="10" t="s">
        <v>24</v>
      </c>
      <c r="D103" s="14" t="s">
        <v>37</v>
      </c>
      <c r="E103" s="9" t="s">
        <v>48</v>
      </c>
      <c r="F103" s="10" t="s">
        <v>16</v>
      </c>
      <c r="G103" s="12" t="n">
        <v>45358</v>
      </c>
      <c r="H103" s="12" t="n">
        <v>45359</v>
      </c>
      <c r="I103" s="9" t="n">
        <v>1</v>
      </c>
      <c r="J103" s="8" t="s">
        <v>17</v>
      </c>
      <c r="K103" s="10" t="s">
        <v>30</v>
      </c>
    </row>
    <row r="104" customFormat="false" ht="15" hidden="false" customHeight="false" outlineLevel="0" collapsed="false">
      <c r="A104" s="4" t="s">
        <v>146</v>
      </c>
      <c r="B104" s="4" t="s">
        <v>138</v>
      </c>
      <c r="C104" s="5" t="s">
        <v>28</v>
      </c>
      <c r="D104" s="6" t="s">
        <v>14</v>
      </c>
      <c r="E104" s="4" t="s">
        <v>15</v>
      </c>
      <c r="F104" s="5" t="s">
        <v>35</v>
      </c>
      <c r="G104" s="7" t="n">
        <v>45363</v>
      </c>
      <c r="H104" s="7" t="n">
        <v>45364</v>
      </c>
      <c r="I104" s="4" t="n">
        <v>1</v>
      </c>
      <c r="J104" s="8" t="s">
        <v>17</v>
      </c>
      <c r="K104" s="5" t="s">
        <v>26</v>
      </c>
    </row>
    <row r="105" customFormat="false" ht="15" hidden="false" customHeight="false" outlineLevel="0" collapsed="false">
      <c r="A105" s="9" t="s">
        <v>147</v>
      </c>
      <c r="B105" s="9" t="s">
        <v>138</v>
      </c>
      <c r="C105" s="10" t="s">
        <v>62</v>
      </c>
      <c r="D105" s="6" t="s">
        <v>14</v>
      </c>
      <c r="E105" s="9" t="s">
        <v>15</v>
      </c>
      <c r="F105" s="10" t="s">
        <v>16</v>
      </c>
      <c r="G105" s="12" t="n">
        <v>45358</v>
      </c>
      <c r="H105" s="12" t="n">
        <v>45364</v>
      </c>
      <c r="I105" s="9" t="n">
        <v>6</v>
      </c>
      <c r="J105" s="13" t="s">
        <v>25</v>
      </c>
      <c r="K105" s="10" t="s">
        <v>49</v>
      </c>
    </row>
    <row r="106" customFormat="false" ht="15" hidden="false" customHeight="false" outlineLevel="0" collapsed="false">
      <c r="A106" s="4" t="s">
        <v>148</v>
      </c>
      <c r="B106" s="4" t="s">
        <v>138</v>
      </c>
      <c r="C106" s="5" t="s">
        <v>24</v>
      </c>
      <c r="D106" s="11" t="s">
        <v>21</v>
      </c>
      <c r="E106" s="4" t="s">
        <v>22</v>
      </c>
      <c r="F106" s="5" t="s">
        <v>16</v>
      </c>
      <c r="G106" s="7" t="n">
        <v>45366</v>
      </c>
      <c r="H106" s="7" t="n">
        <v>45368</v>
      </c>
      <c r="I106" s="4" t="n">
        <v>2</v>
      </c>
      <c r="J106" s="8" t="s">
        <v>17</v>
      </c>
      <c r="K106" s="5" t="s">
        <v>18</v>
      </c>
    </row>
    <row r="107" customFormat="false" ht="15" hidden="false" customHeight="false" outlineLevel="0" collapsed="false">
      <c r="A107" s="9" t="s">
        <v>149</v>
      </c>
      <c r="B107" s="9" t="s">
        <v>138</v>
      </c>
      <c r="C107" s="10" t="s">
        <v>39</v>
      </c>
      <c r="D107" s="6" t="s">
        <v>14</v>
      </c>
      <c r="E107" s="9" t="s">
        <v>15</v>
      </c>
      <c r="F107" s="10" t="s">
        <v>16</v>
      </c>
      <c r="G107" s="12" t="n">
        <v>45366</v>
      </c>
      <c r="H107" s="12" t="n">
        <v>45373</v>
      </c>
      <c r="I107" s="9" t="n">
        <v>7</v>
      </c>
      <c r="J107" s="13" t="s">
        <v>25</v>
      </c>
      <c r="K107" s="10" t="s">
        <v>30</v>
      </c>
    </row>
    <row r="108" customFormat="false" ht="15" hidden="false" customHeight="false" outlineLevel="0" collapsed="false">
      <c r="A108" s="4" t="s">
        <v>150</v>
      </c>
      <c r="B108" s="4" t="s">
        <v>138</v>
      </c>
      <c r="C108" s="5" t="s">
        <v>28</v>
      </c>
      <c r="D108" s="11" t="s">
        <v>21</v>
      </c>
      <c r="E108" s="4" t="s">
        <v>29</v>
      </c>
      <c r="F108" s="5" t="s">
        <v>16</v>
      </c>
      <c r="G108" s="7" t="n">
        <v>45356</v>
      </c>
      <c r="H108" s="7" t="n">
        <v>45366</v>
      </c>
      <c r="I108" s="4" t="n">
        <v>10</v>
      </c>
      <c r="J108" s="8" t="s">
        <v>17</v>
      </c>
      <c r="K108" s="5" t="s">
        <v>30</v>
      </c>
    </row>
    <row r="109" customFormat="false" ht="15" hidden="false" customHeight="false" outlineLevel="0" collapsed="false">
      <c r="A109" s="9" t="s">
        <v>151</v>
      </c>
      <c r="B109" s="9" t="s">
        <v>138</v>
      </c>
      <c r="C109" s="10" t="s">
        <v>28</v>
      </c>
      <c r="D109" s="6" t="s">
        <v>14</v>
      </c>
      <c r="E109" s="9" t="s">
        <v>15</v>
      </c>
      <c r="F109" s="10" t="s">
        <v>35</v>
      </c>
      <c r="G109" s="12" t="n">
        <v>45357</v>
      </c>
      <c r="H109" s="12" t="n">
        <v>45359</v>
      </c>
      <c r="I109" s="9" t="n">
        <v>2</v>
      </c>
      <c r="J109" s="8" t="s">
        <v>17</v>
      </c>
      <c r="K109" s="10" t="s">
        <v>49</v>
      </c>
    </row>
    <row r="110" customFormat="false" ht="15" hidden="false" customHeight="false" outlineLevel="0" collapsed="false">
      <c r="A110" s="4" t="s">
        <v>152</v>
      </c>
      <c r="B110" s="4" t="s">
        <v>138</v>
      </c>
      <c r="C110" s="5" t="s">
        <v>13</v>
      </c>
      <c r="D110" s="6" t="s">
        <v>14</v>
      </c>
      <c r="E110" s="4" t="s">
        <v>15</v>
      </c>
      <c r="F110" s="5" t="s">
        <v>35</v>
      </c>
      <c r="G110" s="7" t="n">
        <v>45364</v>
      </c>
      <c r="H110" s="7" t="n">
        <v>45367</v>
      </c>
      <c r="I110" s="4" t="n">
        <v>3</v>
      </c>
      <c r="J110" s="8" t="s">
        <v>17</v>
      </c>
      <c r="K110" s="5" t="s">
        <v>40</v>
      </c>
    </row>
    <row r="111" customFormat="false" ht="15" hidden="false" customHeight="false" outlineLevel="0" collapsed="false">
      <c r="A111" s="9" t="s">
        <v>153</v>
      </c>
      <c r="B111" s="9" t="s">
        <v>138</v>
      </c>
      <c r="C111" s="10" t="s">
        <v>42</v>
      </c>
      <c r="D111" s="6" t="s">
        <v>14</v>
      </c>
      <c r="E111" s="9" t="s">
        <v>29</v>
      </c>
      <c r="F111" s="10" t="s">
        <v>16</v>
      </c>
      <c r="G111" s="12" t="n">
        <v>45366</v>
      </c>
      <c r="H111" s="12" t="n">
        <v>45373</v>
      </c>
      <c r="I111" s="9" t="n">
        <v>7</v>
      </c>
      <c r="J111" s="13" t="s">
        <v>25</v>
      </c>
      <c r="K111" s="10" t="s">
        <v>30</v>
      </c>
    </row>
    <row r="112" customFormat="false" ht="15" hidden="false" customHeight="false" outlineLevel="0" collapsed="false">
      <c r="A112" s="4" t="s">
        <v>154</v>
      </c>
      <c r="B112" s="4" t="s">
        <v>138</v>
      </c>
      <c r="C112" s="5" t="s">
        <v>62</v>
      </c>
      <c r="D112" s="14" t="s">
        <v>37</v>
      </c>
      <c r="E112" s="4" t="s">
        <v>22</v>
      </c>
      <c r="F112" s="5" t="s">
        <v>16</v>
      </c>
      <c r="G112" s="7" t="n">
        <v>45357</v>
      </c>
      <c r="H112" s="7" t="n">
        <v>45361</v>
      </c>
      <c r="I112" s="4" t="n">
        <v>4</v>
      </c>
      <c r="J112" s="13" t="s">
        <v>25</v>
      </c>
      <c r="K112" s="5" t="s">
        <v>26</v>
      </c>
    </row>
    <row r="113" customFormat="false" ht="15" hidden="false" customHeight="false" outlineLevel="0" collapsed="false">
      <c r="A113" s="9" t="s">
        <v>155</v>
      </c>
      <c r="B113" s="9" t="s">
        <v>138</v>
      </c>
      <c r="C113" s="10" t="s">
        <v>42</v>
      </c>
      <c r="D113" s="15" t="s">
        <v>46</v>
      </c>
      <c r="E113" s="9" t="s">
        <v>15</v>
      </c>
      <c r="F113" s="10" t="s">
        <v>16</v>
      </c>
      <c r="G113" s="12" t="n">
        <v>45362</v>
      </c>
      <c r="H113" s="12" t="n">
        <v>45371</v>
      </c>
      <c r="I113" s="9" t="n">
        <v>9</v>
      </c>
      <c r="J113" s="8" t="s">
        <v>17</v>
      </c>
      <c r="K113" s="10" t="s">
        <v>26</v>
      </c>
    </row>
    <row r="114" customFormat="false" ht="15" hidden="false" customHeight="false" outlineLevel="0" collapsed="false">
      <c r="A114" s="4" t="s">
        <v>156</v>
      </c>
      <c r="B114" s="4" t="s">
        <v>138</v>
      </c>
      <c r="C114" s="5" t="s">
        <v>45</v>
      </c>
      <c r="D114" s="6" t="s">
        <v>14</v>
      </c>
      <c r="E114" s="4" t="s">
        <v>48</v>
      </c>
      <c r="F114" s="5" t="s">
        <v>58</v>
      </c>
      <c r="G114" s="7" t="n">
        <v>45356</v>
      </c>
      <c r="H114" s="4"/>
      <c r="I114" s="4" t="n">
        <v>56</v>
      </c>
      <c r="J114" s="13" t="s">
        <v>25</v>
      </c>
      <c r="K114" s="5" t="s">
        <v>49</v>
      </c>
    </row>
    <row r="115" customFormat="false" ht="15" hidden="false" customHeight="false" outlineLevel="0" collapsed="false">
      <c r="A115" s="9" t="s">
        <v>157</v>
      </c>
      <c r="B115" s="9" t="s">
        <v>138</v>
      </c>
      <c r="C115" s="10" t="s">
        <v>24</v>
      </c>
      <c r="D115" s="14" t="s">
        <v>37</v>
      </c>
      <c r="E115" s="9" t="s">
        <v>15</v>
      </c>
      <c r="F115" s="10" t="s">
        <v>58</v>
      </c>
      <c r="G115" s="12" t="n">
        <v>45357</v>
      </c>
      <c r="H115" s="9"/>
      <c r="I115" s="9" t="n">
        <v>55</v>
      </c>
      <c r="J115" s="13" t="s">
        <v>25</v>
      </c>
      <c r="K115" s="10" t="s">
        <v>26</v>
      </c>
    </row>
    <row r="116" customFormat="false" ht="15" hidden="false" customHeight="false" outlineLevel="0" collapsed="false">
      <c r="A116" s="4" t="s">
        <v>158</v>
      </c>
      <c r="B116" s="4" t="s">
        <v>138</v>
      </c>
      <c r="C116" s="5" t="s">
        <v>28</v>
      </c>
      <c r="D116" s="15" t="s">
        <v>46</v>
      </c>
      <c r="E116" s="4" t="s">
        <v>29</v>
      </c>
      <c r="F116" s="5" t="s">
        <v>35</v>
      </c>
      <c r="G116" s="7" t="n">
        <v>45364</v>
      </c>
      <c r="H116" s="7" t="n">
        <v>45382</v>
      </c>
      <c r="I116" s="4" t="n">
        <v>18</v>
      </c>
      <c r="J116" s="8" t="s">
        <v>17</v>
      </c>
      <c r="K116" s="5" t="s">
        <v>18</v>
      </c>
    </row>
    <row r="117" customFormat="false" ht="15" hidden="false" customHeight="false" outlineLevel="0" collapsed="false">
      <c r="A117" s="9" t="s">
        <v>159</v>
      </c>
      <c r="B117" s="9" t="s">
        <v>138</v>
      </c>
      <c r="C117" s="10" t="s">
        <v>24</v>
      </c>
      <c r="D117" s="6" t="s">
        <v>14</v>
      </c>
      <c r="E117" s="9" t="s">
        <v>48</v>
      </c>
      <c r="F117" s="10" t="s">
        <v>16</v>
      </c>
      <c r="G117" s="12" t="n">
        <v>45364</v>
      </c>
      <c r="H117" s="12" t="n">
        <v>45369</v>
      </c>
      <c r="I117" s="9" t="n">
        <v>5</v>
      </c>
      <c r="J117" s="8" t="s">
        <v>17</v>
      </c>
      <c r="K117" s="10" t="s">
        <v>18</v>
      </c>
    </row>
    <row r="118" customFormat="false" ht="15" hidden="false" customHeight="false" outlineLevel="0" collapsed="false">
      <c r="A118" s="4" t="s">
        <v>160</v>
      </c>
      <c r="B118" s="4" t="s">
        <v>138</v>
      </c>
      <c r="C118" s="5" t="s">
        <v>28</v>
      </c>
      <c r="D118" s="11" t="s">
        <v>21</v>
      </c>
      <c r="E118" s="4" t="s">
        <v>15</v>
      </c>
      <c r="F118" s="5" t="s">
        <v>35</v>
      </c>
      <c r="G118" s="7" t="n">
        <v>45367</v>
      </c>
      <c r="H118" s="7" t="n">
        <v>45369</v>
      </c>
      <c r="I118" s="4" t="n">
        <v>2</v>
      </c>
      <c r="J118" s="8" t="s">
        <v>17</v>
      </c>
      <c r="K118" s="5" t="s">
        <v>30</v>
      </c>
    </row>
    <row r="119" customFormat="false" ht="15" hidden="false" customHeight="false" outlineLevel="0" collapsed="false">
      <c r="A119" s="9" t="s">
        <v>161</v>
      </c>
      <c r="B119" s="9" t="s">
        <v>138</v>
      </c>
      <c r="C119" s="10" t="s">
        <v>20</v>
      </c>
      <c r="D119" s="11" t="s">
        <v>21</v>
      </c>
      <c r="E119" s="9" t="s">
        <v>29</v>
      </c>
      <c r="F119" s="10" t="s">
        <v>16</v>
      </c>
      <c r="G119" s="12" t="n">
        <v>45356</v>
      </c>
      <c r="H119" s="12" t="n">
        <v>45357</v>
      </c>
      <c r="I119" s="9" t="n">
        <v>1</v>
      </c>
      <c r="J119" s="8" t="s">
        <v>17</v>
      </c>
      <c r="K119" s="10" t="s">
        <v>49</v>
      </c>
    </row>
    <row r="120" customFormat="false" ht="15" hidden="false" customHeight="false" outlineLevel="0" collapsed="false">
      <c r="A120" s="4" t="s">
        <v>162</v>
      </c>
      <c r="B120" s="4" t="s">
        <v>138</v>
      </c>
      <c r="C120" s="5" t="s">
        <v>24</v>
      </c>
      <c r="D120" s="11" t="s">
        <v>21</v>
      </c>
      <c r="E120" s="4" t="s">
        <v>15</v>
      </c>
      <c r="F120" s="5" t="s">
        <v>16</v>
      </c>
      <c r="G120" s="7" t="n">
        <v>45358</v>
      </c>
      <c r="H120" s="7" t="n">
        <v>45361</v>
      </c>
      <c r="I120" s="4" t="n">
        <v>3</v>
      </c>
      <c r="J120" s="8" t="s">
        <v>17</v>
      </c>
      <c r="K120" s="5" t="s">
        <v>49</v>
      </c>
    </row>
    <row r="121" customFormat="false" ht="15" hidden="false" customHeight="false" outlineLevel="0" collapsed="false">
      <c r="A121" s="9" t="s">
        <v>163</v>
      </c>
      <c r="B121" s="9" t="s">
        <v>138</v>
      </c>
      <c r="C121" s="10" t="s">
        <v>28</v>
      </c>
      <c r="D121" s="14" t="s">
        <v>37</v>
      </c>
      <c r="E121" s="9" t="s">
        <v>29</v>
      </c>
      <c r="F121" s="10" t="s">
        <v>16</v>
      </c>
      <c r="G121" s="12" t="n">
        <v>45367</v>
      </c>
      <c r="H121" s="12" t="n">
        <v>45371</v>
      </c>
      <c r="I121" s="9" t="n">
        <v>4</v>
      </c>
      <c r="J121" s="13" t="s">
        <v>25</v>
      </c>
      <c r="K121" s="10" t="s">
        <v>49</v>
      </c>
    </row>
    <row r="122" customFormat="false" ht="15" hidden="false" customHeight="false" outlineLevel="0" collapsed="false">
      <c r="A122" s="4" t="s">
        <v>164</v>
      </c>
      <c r="B122" s="4" t="s">
        <v>138</v>
      </c>
      <c r="C122" s="5" t="s">
        <v>42</v>
      </c>
      <c r="D122" s="6" t="s">
        <v>14</v>
      </c>
      <c r="E122" s="4" t="s">
        <v>29</v>
      </c>
      <c r="F122" s="5" t="s">
        <v>58</v>
      </c>
      <c r="G122" s="7" t="n">
        <v>45359</v>
      </c>
      <c r="H122" s="4"/>
      <c r="I122" s="4" t="n">
        <v>53</v>
      </c>
      <c r="J122" s="13" t="s">
        <v>25</v>
      </c>
      <c r="K122" s="5" t="s">
        <v>26</v>
      </c>
    </row>
    <row r="123" customFormat="false" ht="15" hidden="false" customHeight="false" outlineLevel="0" collapsed="false">
      <c r="A123" s="9" t="s">
        <v>165</v>
      </c>
      <c r="B123" s="9" t="s">
        <v>166</v>
      </c>
      <c r="C123" s="10" t="s">
        <v>62</v>
      </c>
      <c r="D123" s="6" t="s">
        <v>14</v>
      </c>
      <c r="E123" s="9" t="s">
        <v>29</v>
      </c>
      <c r="F123" s="10" t="s">
        <v>35</v>
      </c>
      <c r="G123" s="12" t="n">
        <v>45378</v>
      </c>
      <c r="H123" s="12" t="n">
        <v>45381</v>
      </c>
      <c r="I123" s="9" t="n">
        <v>3</v>
      </c>
      <c r="J123" s="8" t="s">
        <v>17</v>
      </c>
      <c r="K123" s="10" t="s">
        <v>26</v>
      </c>
    </row>
    <row r="124" customFormat="false" ht="15" hidden="false" customHeight="false" outlineLevel="0" collapsed="false">
      <c r="A124" s="4" t="s">
        <v>167</v>
      </c>
      <c r="B124" s="4" t="s">
        <v>166</v>
      </c>
      <c r="C124" s="5" t="s">
        <v>62</v>
      </c>
      <c r="D124" s="11" t="s">
        <v>21</v>
      </c>
      <c r="E124" s="4" t="s">
        <v>29</v>
      </c>
      <c r="F124" s="5" t="s">
        <v>16</v>
      </c>
      <c r="G124" s="7" t="n">
        <v>45373</v>
      </c>
      <c r="H124" s="7" t="n">
        <v>45380</v>
      </c>
      <c r="I124" s="4" t="n">
        <v>7</v>
      </c>
      <c r="J124" s="8" t="s">
        <v>17</v>
      </c>
      <c r="K124" s="5" t="s">
        <v>49</v>
      </c>
    </row>
    <row r="125" customFormat="false" ht="15" hidden="false" customHeight="false" outlineLevel="0" collapsed="false">
      <c r="A125" s="9" t="s">
        <v>168</v>
      </c>
      <c r="B125" s="9" t="s">
        <v>166</v>
      </c>
      <c r="C125" s="10" t="s">
        <v>24</v>
      </c>
      <c r="D125" s="14" t="s">
        <v>37</v>
      </c>
      <c r="E125" s="9" t="s">
        <v>22</v>
      </c>
      <c r="F125" s="10" t="s">
        <v>16</v>
      </c>
      <c r="G125" s="12" t="n">
        <v>45374</v>
      </c>
      <c r="H125" s="12" t="n">
        <v>45377</v>
      </c>
      <c r="I125" s="9" t="n">
        <v>3</v>
      </c>
      <c r="J125" s="13" t="s">
        <v>25</v>
      </c>
      <c r="K125" s="10" t="s">
        <v>26</v>
      </c>
    </row>
    <row r="126" customFormat="false" ht="15" hidden="false" customHeight="false" outlineLevel="0" collapsed="false">
      <c r="A126" s="4" t="s">
        <v>169</v>
      </c>
      <c r="B126" s="4" t="s">
        <v>166</v>
      </c>
      <c r="C126" s="5" t="s">
        <v>20</v>
      </c>
      <c r="D126" s="14" t="s">
        <v>37</v>
      </c>
      <c r="E126" s="4" t="s">
        <v>48</v>
      </c>
      <c r="F126" s="5" t="s">
        <v>35</v>
      </c>
      <c r="G126" s="7" t="n">
        <v>45378</v>
      </c>
      <c r="H126" s="7" t="n">
        <v>45381</v>
      </c>
      <c r="I126" s="4" t="n">
        <v>3</v>
      </c>
      <c r="J126" s="13" t="s">
        <v>25</v>
      </c>
      <c r="K126" s="5" t="s">
        <v>30</v>
      </c>
    </row>
    <row r="127" customFormat="false" ht="15" hidden="false" customHeight="false" outlineLevel="0" collapsed="false">
      <c r="A127" s="9" t="s">
        <v>170</v>
      </c>
      <c r="B127" s="9" t="s">
        <v>166</v>
      </c>
      <c r="C127" s="10" t="s">
        <v>62</v>
      </c>
      <c r="D127" s="11" t="s">
        <v>21</v>
      </c>
      <c r="E127" s="9" t="s">
        <v>15</v>
      </c>
      <c r="F127" s="10" t="s">
        <v>16</v>
      </c>
      <c r="G127" s="12" t="n">
        <v>45377</v>
      </c>
      <c r="H127" s="12" t="n">
        <v>45386</v>
      </c>
      <c r="I127" s="9" t="n">
        <v>9</v>
      </c>
      <c r="J127" s="8" t="s">
        <v>17</v>
      </c>
      <c r="K127" s="10" t="s">
        <v>30</v>
      </c>
    </row>
    <row r="128" customFormat="false" ht="15" hidden="false" customHeight="false" outlineLevel="0" collapsed="false">
      <c r="A128" s="4" t="s">
        <v>171</v>
      </c>
      <c r="B128" s="4" t="s">
        <v>166</v>
      </c>
      <c r="C128" s="5" t="s">
        <v>62</v>
      </c>
      <c r="D128" s="6" t="s">
        <v>14</v>
      </c>
      <c r="E128" s="4" t="s">
        <v>15</v>
      </c>
      <c r="F128" s="5" t="s">
        <v>16</v>
      </c>
      <c r="G128" s="7" t="n">
        <v>45376</v>
      </c>
      <c r="H128" s="7" t="n">
        <v>45377</v>
      </c>
      <c r="I128" s="4" t="n">
        <v>1</v>
      </c>
      <c r="J128" s="8" t="s">
        <v>17</v>
      </c>
      <c r="K128" s="5" t="s">
        <v>30</v>
      </c>
    </row>
    <row r="129" customFormat="false" ht="15" hidden="false" customHeight="false" outlineLevel="0" collapsed="false">
      <c r="A129" s="9" t="s">
        <v>172</v>
      </c>
      <c r="B129" s="9" t="s">
        <v>166</v>
      </c>
      <c r="C129" s="10" t="s">
        <v>39</v>
      </c>
      <c r="D129" s="11" t="s">
        <v>21</v>
      </c>
      <c r="E129" s="9" t="s">
        <v>29</v>
      </c>
      <c r="F129" s="10" t="s">
        <v>58</v>
      </c>
      <c r="G129" s="12" t="n">
        <v>45371</v>
      </c>
      <c r="H129" s="9"/>
      <c r="I129" s="9" t="n">
        <v>41</v>
      </c>
      <c r="J129" s="13" t="s">
        <v>25</v>
      </c>
      <c r="K129" s="10" t="s">
        <v>49</v>
      </c>
    </row>
    <row r="130" customFormat="false" ht="15" hidden="false" customHeight="false" outlineLevel="0" collapsed="false">
      <c r="A130" s="4" t="s">
        <v>173</v>
      </c>
      <c r="B130" s="4" t="s">
        <v>166</v>
      </c>
      <c r="C130" s="5" t="s">
        <v>20</v>
      </c>
      <c r="D130" s="11" t="s">
        <v>21</v>
      </c>
      <c r="E130" s="4" t="s">
        <v>29</v>
      </c>
      <c r="F130" s="5" t="s">
        <v>35</v>
      </c>
      <c r="G130" s="7" t="n">
        <v>45382</v>
      </c>
      <c r="H130" s="7" t="n">
        <v>45393</v>
      </c>
      <c r="I130" s="4" t="n">
        <v>11</v>
      </c>
      <c r="J130" s="13" t="s">
        <v>25</v>
      </c>
      <c r="K130" s="5" t="s">
        <v>49</v>
      </c>
    </row>
    <row r="131" customFormat="false" ht="15" hidden="false" customHeight="false" outlineLevel="0" collapsed="false">
      <c r="A131" s="9" t="s">
        <v>174</v>
      </c>
      <c r="B131" s="9" t="s">
        <v>166</v>
      </c>
      <c r="C131" s="10" t="s">
        <v>45</v>
      </c>
      <c r="D131" s="14" t="s">
        <v>37</v>
      </c>
      <c r="E131" s="9" t="s">
        <v>29</v>
      </c>
      <c r="F131" s="10" t="s">
        <v>58</v>
      </c>
      <c r="G131" s="12" t="n">
        <v>45381</v>
      </c>
      <c r="H131" s="9"/>
      <c r="I131" s="9" t="n">
        <v>31</v>
      </c>
      <c r="J131" s="13" t="s">
        <v>25</v>
      </c>
      <c r="K131" s="10" t="s">
        <v>18</v>
      </c>
    </row>
    <row r="132" customFormat="false" ht="15" hidden="false" customHeight="false" outlineLevel="0" collapsed="false">
      <c r="A132" s="4" t="s">
        <v>175</v>
      </c>
      <c r="B132" s="4" t="s">
        <v>166</v>
      </c>
      <c r="C132" s="5" t="s">
        <v>20</v>
      </c>
      <c r="D132" s="15" t="s">
        <v>46</v>
      </c>
      <c r="E132" s="4" t="s">
        <v>22</v>
      </c>
      <c r="F132" s="5" t="s">
        <v>35</v>
      </c>
      <c r="G132" s="7" t="n">
        <v>45376</v>
      </c>
      <c r="H132" s="7" t="n">
        <v>45388</v>
      </c>
      <c r="I132" s="4" t="n">
        <v>12</v>
      </c>
      <c r="J132" s="8" t="s">
        <v>17</v>
      </c>
      <c r="K132" s="5" t="s">
        <v>40</v>
      </c>
    </row>
    <row r="133" customFormat="false" ht="15" hidden="false" customHeight="false" outlineLevel="0" collapsed="false">
      <c r="A133" s="9" t="s">
        <v>176</v>
      </c>
      <c r="B133" s="9" t="s">
        <v>166</v>
      </c>
      <c r="C133" s="10" t="s">
        <v>20</v>
      </c>
      <c r="D133" s="11" t="s">
        <v>21</v>
      </c>
      <c r="E133" s="9" t="s">
        <v>15</v>
      </c>
      <c r="F133" s="10" t="s">
        <v>16</v>
      </c>
      <c r="G133" s="12" t="n">
        <v>45376</v>
      </c>
      <c r="H133" s="12" t="n">
        <v>45387</v>
      </c>
      <c r="I133" s="9" t="n">
        <v>11</v>
      </c>
      <c r="J133" s="13" t="s">
        <v>25</v>
      </c>
      <c r="K133" s="10" t="s">
        <v>40</v>
      </c>
    </row>
    <row r="134" customFormat="false" ht="15" hidden="false" customHeight="false" outlineLevel="0" collapsed="false">
      <c r="A134" s="4" t="s">
        <v>177</v>
      </c>
      <c r="B134" s="4" t="s">
        <v>166</v>
      </c>
      <c r="C134" s="5" t="s">
        <v>13</v>
      </c>
      <c r="D134" s="6" t="s">
        <v>14</v>
      </c>
      <c r="E134" s="4" t="s">
        <v>29</v>
      </c>
      <c r="F134" s="5" t="s">
        <v>16</v>
      </c>
      <c r="G134" s="7" t="n">
        <v>45380</v>
      </c>
      <c r="H134" s="7" t="n">
        <v>45386</v>
      </c>
      <c r="I134" s="4" t="n">
        <v>6</v>
      </c>
      <c r="J134" s="13" t="s">
        <v>25</v>
      </c>
      <c r="K134" s="5" t="s">
        <v>26</v>
      </c>
    </row>
    <row r="135" customFormat="false" ht="15" hidden="false" customHeight="false" outlineLevel="0" collapsed="false">
      <c r="A135" s="9" t="s">
        <v>178</v>
      </c>
      <c r="B135" s="9" t="s">
        <v>166</v>
      </c>
      <c r="C135" s="10" t="s">
        <v>20</v>
      </c>
      <c r="D135" s="15" t="s">
        <v>46</v>
      </c>
      <c r="E135" s="9" t="s">
        <v>15</v>
      </c>
      <c r="F135" s="10" t="s">
        <v>16</v>
      </c>
      <c r="G135" s="12" t="n">
        <v>45371</v>
      </c>
      <c r="H135" s="12" t="n">
        <v>45379</v>
      </c>
      <c r="I135" s="9" t="n">
        <v>8</v>
      </c>
      <c r="J135" s="8" t="s">
        <v>17</v>
      </c>
      <c r="K135" s="10" t="s">
        <v>18</v>
      </c>
    </row>
    <row r="136" customFormat="false" ht="15" hidden="false" customHeight="false" outlineLevel="0" collapsed="false">
      <c r="A136" s="4" t="s">
        <v>179</v>
      </c>
      <c r="B136" s="4" t="s">
        <v>166</v>
      </c>
      <c r="C136" s="5" t="s">
        <v>13</v>
      </c>
      <c r="D136" s="11" t="s">
        <v>21</v>
      </c>
      <c r="E136" s="4" t="s">
        <v>29</v>
      </c>
      <c r="F136" s="5" t="s">
        <v>35</v>
      </c>
      <c r="G136" s="7" t="n">
        <v>45370</v>
      </c>
      <c r="H136" s="7" t="n">
        <v>45376</v>
      </c>
      <c r="I136" s="4" t="n">
        <v>6</v>
      </c>
      <c r="J136" s="8" t="s">
        <v>17</v>
      </c>
      <c r="K136" s="5" t="s">
        <v>40</v>
      </c>
    </row>
    <row r="137" customFormat="false" ht="15" hidden="false" customHeight="false" outlineLevel="0" collapsed="false">
      <c r="A137" s="9" t="s">
        <v>180</v>
      </c>
      <c r="B137" s="9" t="s">
        <v>166</v>
      </c>
      <c r="C137" s="10" t="s">
        <v>62</v>
      </c>
      <c r="D137" s="11" t="s">
        <v>21</v>
      </c>
      <c r="E137" s="9" t="s">
        <v>15</v>
      </c>
      <c r="F137" s="10" t="s">
        <v>16</v>
      </c>
      <c r="G137" s="12" t="n">
        <v>45373</v>
      </c>
      <c r="H137" s="12" t="n">
        <v>45378</v>
      </c>
      <c r="I137" s="9" t="n">
        <v>5</v>
      </c>
      <c r="J137" s="8" t="s">
        <v>17</v>
      </c>
      <c r="K137" s="10" t="s">
        <v>49</v>
      </c>
    </row>
    <row r="138" customFormat="false" ht="15" hidden="false" customHeight="false" outlineLevel="0" collapsed="false">
      <c r="A138" s="4" t="s">
        <v>181</v>
      </c>
      <c r="B138" s="4" t="s">
        <v>166</v>
      </c>
      <c r="C138" s="5" t="s">
        <v>42</v>
      </c>
      <c r="D138" s="6" t="s">
        <v>14</v>
      </c>
      <c r="E138" s="4" t="s">
        <v>15</v>
      </c>
      <c r="F138" s="5" t="s">
        <v>16</v>
      </c>
      <c r="G138" s="7" t="n">
        <v>45378</v>
      </c>
      <c r="H138" s="7" t="n">
        <v>45385</v>
      </c>
      <c r="I138" s="4" t="n">
        <v>7</v>
      </c>
      <c r="J138" s="13" t="s">
        <v>25</v>
      </c>
      <c r="K138" s="5" t="s">
        <v>26</v>
      </c>
    </row>
    <row r="139" customFormat="false" ht="15" hidden="false" customHeight="false" outlineLevel="0" collapsed="false">
      <c r="A139" s="9" t="s">
        <v>182</v>
      </c>
      <c r="B139" s="9" t="s">
        <v>166</v>
      </c>
      <c r="C139" s="10" t="s">
        <v>24</v>
      </c>
      <c r="D139" s="6" t="s">
        <v>14</v>
      </c>
      <c r="E139" s="9" t="s">
        <v>15</v>
      </c>
      <c r="F139" s="10" t="s">
        <v>16</v>
      </c>
      <c r="G139" s="12" t="n">
        <v>45381</v>
      </c>
      <c r="H139" s="12" t="n">
        <v>45388</v>
      </c>
      <c r="I139" s="9" t="n">
        <v>7</v>
      </c>
      <c r="J139" s="13" t="s">
        <v>25</v>
      </c>
      <c r="K139" s="10" t="s">
        <v>26</v>
      </c>
    </row>
    <row r="140" customFormat="false" ht="15" hidden="false" customHeight="false" outlineLevel="0" collapsed="false">
      <c r="A140" s="4" t="s">
        <v>183</v>
      </c>
      <c r="B140" s="4" t="s">
        <v>166</v>
      </c>
      <c r="C140" s="5" t="s">
        <v>42</v>
      </c>
      <c r="D140" s="6" t="s">
        <v>14</v>
      </c>
      <c r="E140" s="4" t="s">
        <v>29</v>
      </c>
      <c r="F140" s="5" t="s">
        <v>16</v>
      </c>
      <c r="G140" s="7" t="n">
        <v>45379</v>
      </c>
      <c r="H140" s="7" t="n">
        <v>45385</v>
      </c>
      <c r="I140" s="4" t="n">
        <v>6</v>
      </c>
      <c r="J140" s="13" t="s">
        <v>25</v>
      </c>
      <c r="K140" s="5" t="s">
        <v>49</v>
      </c>
    </row>
    <row r="141" customFormat="false" ht="15" hidden="false" customHeight="false" outlineLevel="0" collapsed="false">
      <c r="A141" s="9" t="s">
        <v>184</v>
      </c>
      <c r="B141" s="9" t="s">
        <v>185</v>
      </c>
      <c r="C141" s="10" t="s">
        <v>39</v>
      </c>
      <c r="D141" s="11" t="s">
        <v>21</v>
      </c>
      <c r="E141" s="9" t="s">
        <v>29</v>
      </c>
      <c r="F141" s="10" t="s">
        <v>35</v>
      </c>
      <c r="G141" s="12" t="n">
        <v>45389</v>
      </c>
      <c r="H141" s="12" t="n">
        <v>45395</v>
      </c>
      <c r="I141" s="9" t="n">
        <v>6</v>
      </c>
      <c r="J141" s="8" t="s">
        <v>17</v>
      </c>
      <c r="K141" s="10" t="s">
        <v>40</v>
      </c>
    </row>
    <row r="142" customFormat="false" ht="15" hidden="false" customHeight="false" outlineLevel="0" collapsed="false">
      <c r="A142" s="4" t="s">
        <v>186</v>
      </c>
      <c r="B142" s="4" t="s">
        <v>185</v>
      </c>
      <c r="C142" s="5" t="s">
        <v>45</v>
      </c>
      <c r="D142" s="15" t="s">
        <v>46</v>
      </c>
      <c r="E142" s="4" t="s">
        <v>29</v>
      </c>
      <c r="F142" s="5" t="s">
        <v>16</v>
      </c>
      <c r="G142" s="7" t="n">
        <v>45396</v>
      </c>
      <c r="H142" s="7" t="n">
        <v>45419</v>
      </c>
      <c r="I142" s="4" t="n">
        <v>23</v>
      </c>
      <c r="J142" s="13" t="s">
        <v>25</v>
      </c>
      <c r="K142" s="5" t="s">
        <v>26</v>
      </c>
    </row>
    <row r="143" customFormat="false" ht="15" hidden="false" customHeight="false" outlineLevel="0" collapsed="false">
      <c r="A143" s="9" t="s">
        <v>187</v>
      </c>
      <c r="B143" s="9" t="s">
        <v>185</v>
      </c>
      <c r="C143" s="10" t="s">
        <v>42</v>
      </c>
      <c r="D143" s="6" t="s">
        <v>14</v>
      </c>
      <c r="E143" s="9" t="s">
        <v>15</v>
      </c>
      <c r="F143" s="10" t="s">
        <v>35</v>
      </c>
      <c r="G143" s="12" t="n">
        <v>45389</v>
      </c>
      <c r="H143" s="12" t="n">
        <v>45394</v>
      </c>
      <c r="I143" s="9" t="n">
        <v>5</v>
      </c>
      <c r="J143" s="8" t="s">
        <v>17</v>
      </c>
      <c r="K143" s="10" t="s">
        <v>49</v>
      </c>
    </row>
    <row r="144" customFormat="false" ht="15" hidden="false" customHeight="false" outlineLevel="0" collapsed="false">
      <c r="A144" s="4" t="s">
        <v>188</v>
      </c>
      <c r="B144" s="4" t="s">
        <v>185</v>
      </c>
      <c r="C144" s="5" t="s">
        <v>13</v>
      </c>
      <c r="D144" s="15" t="s">
        <v>46</v>
      </c>
      <c r="E144" s="4" t="s">
        <v>29</v>
      </c>
      <c r="F144" s="5" t="s">
        <v>33</v>
      </c>
      <c r="G144" s="7" t="n">
        <v>45388</v>
      </c>
      <c r="H144" s="4"/>
      <c r="I144" s="4" t="n">
        <v>24</v>
      </c>
      <c r="J144" s="13" t="s">
        <v>25</v>
      </c>
      <c r="K144" s="5" t="s">
        <v>49</v>
      </c>
    </row>
    <row r="145" customFormat="false" ht="15" hidden="false" customHeight="false" outlineLevel="0" collapsed="false">
      <c r="A145" s="9" t="s">
        <v>189</v>
      </c>
      <c r="B145" s="9" t="s">
        <v>185</v>
      </c>
      <c r="C145" s="10" t="s">
        <v>45</v>
      </c>
      <c r="D145" s="14" t="s">
        <v>37</v>
      </c>
      <c r="E145" s="9" t="s">
        <v>48</v>
      </c>
      <c r="F145" s="10" t="s">
        <v>77</v>
      </c>
      <c r="G145" s="12" t="n">
        <v>45385</v>
      </c>
      <c r="H145" s="9"/>
      <c r="I145" s="9" t="n">
        <v>27</v>
      </c>
      <c r="J145" s="13" t="s">
        <v>25</v>
      </c>
      <c r="K145" s="10" t="s">
        <v>40</v>
      </c>
    </row>
    <row r="146" customFormat="false" ht="15" hidden="false" customHeight="false" outlineLevel="0" collapsed="false">
      <c r="A146" s="4" t="s">
        <v>190</v>
      </c>
      <c r="B146" s="4" t="s">
        <v>185</v>
      </c>
      <c r="C146" s="5" t="s">
        <v>45</v>
      </c>
      <c r="D146" s="14" t="s">
        <v>37</v>
      </c>
      <c r="E146" s="4" t="s">
        <v>15</v>
      </c>
      <c r="F146" s="5" t="s">
        <v>16</v>
      </c>
      <c r="G146" s="7" t="n">
        <v>45392</v>
      </c>
      <c r="H146" s="7" t="n">
        <v>45396</v>
      </c>
      <c r="I146" s="4" t="n">
        <v>4</v>
      </c>
      <c r="J146" s="13" t="s">
        <v>25</v>
      </c>
      <c r="K146" s="5" t="s">
        <v>26</v>
      </c>
    </row>
    <row r="147" customFormat="false" ht="15" hidden="false" customHeight="false" outlineLevel="0" collapsed="false">
      <c r="A147" s="9" t="s">
        <v>191</v>
      </c>
      <c r="B147" s="9" t="s">
        <v>185</v>
      </c>
      <c r="C147" s="10" t="s">
        <v>62</v>
      </c>
      <c r="D147" s="15" t="s">
        <v>46</v>
      </c>
      <c r="E147" s="9" t="s">
        <v>48</v>
      </c>
      <c r="F147" s="10" t="s">
        <v>35</v>
      </c>
      <c r="G147" s="12" t="n">
        <v>45389</v>
      </c>
      <c r="H147" s="12" t="n">
        <v>45398</v>
      </c>
      <c r="I147" s="9" t="n">
        <v>9</v>
      </c>
      <c r="J147" s="8" t="s">
        <v>17</v>
      </c>
      <c r="K147" s="10" t="s">
        <v>18</v>
      </c>
    </row>
    <row r="148" customFormat="false" ht="15" hidden="false" customHeight="false" outlineLevel="0" collapsed="false">
      <c r="A148" s="4" t="s">
        <v>192</v>
      </c>
      <c r="B148" s="4" t="s">
        <v>185</v>
      </c>
      <c r="C148" s="5" t="s">
        <v>13</v>
      </c>
      <c r="D148" s="14" t="s">
        <v>37</v>
      </c>
      <c r="E148" s="4" t="s">
        <v>22</v>
      </c>
      <c r="F148" s="5" t="s">
        <v>16</v>
      </c>
      <c r="G148" s="7" t="n">
        <v>45387</v>
      </c>
      <c r="H148" s="7" t="n">
        <v>45388</v>
      </c>
      <c r="I148" s="4" t="n">
        <v>1</v>
      </c>
      <c r="J148" s="8" t="s">
        <v>17</v>
      </c>
      <c r="K148" s="5" t="s">
        <v>49</v>
      </c>
    </row>
    <row r="149" customFormat="false" ht="15" hidden="false" customHeight="false" outlineLevel="0" collapsed="false">
      <c r="A149" s="9" t="s">
        <v>193</v>
      </c>
      <c r="B149" s="9" t="s">
        <v>185</v>
      </c>
      <c r="C149" s="10" t="s">
        <v>42</v>
      </c>
      <c r="D149" s="15" t="s">
        <v>46</v>
      </c>
      <c r="E149" s="9" t="s">
        <v>15</v>
      </c>
      <c r="F149" s="10" t="s">
        <v>35</v>
      </c>
      <c r="G149" s="12" t="n">
        <v>45384</v>
      </c>
      <c r="H149" s="12" t="n">
        <v>45397</v>
      </c>
      <c r="I149" s="9" t="n">
        <v>13</v>
      </c>
      <c r="J149" s="8" t="s">
        <v>17</v>
      </c>
      <c r="K149" s="10" t="s">
        <v>30</v>
      </c>
    </row>
    <row r="150" customFormat="false" ht="15" hidden="false" customHeight="false" outlineLevel="0" collapsed="false">
      <c r="A150" s="4" t="s">
        <v>194</v>
      </c>
      <c r="B150" s="4" t="s">
        <v>185</v>
      </c>
      <c r="C150" s="5" t="s">
        <v>39</v>
      </c>
      <c r="D150" s="15" t="s">
        <v>46</v>
      </c>
      <c r="E150" s="4" t="s">
        <v>22</v>
      </c>
      <c r="F150" s="5" t="s">
        <v>35</v>
      </c>
      <c r="G150" s="7" t="n">
        <v>45387</v>
      </c>
      <c r="H150" s="7" t="n">
        <v>45397</v>
      </c>
      <c r="I150" s="4" t="n">
        <v>10</v>
      </c>
      <c r="J150" s="8" t="s">
        <v>17</v>
      </c>
      <c r="K150" s="5" t="s">
        <v>49</v>
      </c>
    </row>
    <row r="151" customFormat="false" ht="15" hidden="false" customHeight="false" outlineLevel="0" collapsed="false">
      <c r="A151" s="9" t="s">
        <v>195</v>
      </c>
      <c r="B151" s="9" t="s">
        <v>185</v>
      </c>
      <c r="C151" s="10" t="s">
        <v>42</v>
      </c>
      <c r="D151" s="6" t="s">
        <v>14</v>
      </c>
      <c r="E151" s="9" t="s">
        <v>15</v>
      </c>
      <c r="F151" s="10" t="s">
        <v>16</v>
      </c>
      <c r="G151" s="12" t="n">
        <v>45395</v>
      </c>
      <c r="H151" s="12" t="n">
        <v>45396</v>
      </c>
      <c r="I151" s="9" t="n">
        <v>1</v>
      </c>
      <c r="J151" s="8" t="s">
        <v>17</v>
      </c>
      <c r="K151" s="10" t="s">
        <v>40</v>
      </c>
    </row>
    <row r="152" customFormat="false" ht="15" hidden="false" customHeight="false" outlineLevel="0" collapsed="false">
      <c r="A152" s="4" t="s">
        <v>196</v>
      </c>
      <c r="B152" s="4" t="s">
        <v>185</v>
      </c>
      <c r="C152" s="5" t="s">
        <v>42</v>
      </c>
      <c r="D152" s="14" t="s">
        <v>37</v>
      </c>
      <c r="E152" s="4" t="s">
        <v>48</v>
      </c>
      <c r="F152" s="5" t="s">
        <v>16</v>
      </c>
      <c r="G152" s="7" t="n">
        <v>45386</v>
      </c>
      <c r="H152" s="7" t="n">
        <v>45388</v>
      </c>
      <c r="I152" s="4" t="n">
        <v>2</v>
      </c>
      <c r="J152" s="8" t="s">
        <v>17</v>
      </c>
      <c r="K152" s="5" t="s">
        <v>40</v>
      </c>
    </row>
    <row r="153" customFormat="false" ht="15" hidden="false" customHeight="false" outlineLevel="0" collapsed="false">
      <c r="A153" s="9" t="s">
        <v>197</v>
      </c>
      <c r="B153" s="9" t="s">
        <v>185</v>
      </c>
      <c r="C153" s="10" t="s">
        <v>62</v>
      </c>
      <c r="D153" s="11" t="s">
        <v>21</v>
      </c>
      <c r="E153" s="9" t="s">
        <v>29</v>
      </c>
      <c r="F153" s="10" t="s">
        <v>16</v>
      </c>
      <c r="G153" s="12" t="n">
        <v>45383</v>
      </c>
      <c r="H153" s="12" t="n">
        <v>45396</v>
      </c>
      <c r="I153" s="9" t="n">
        <v>13</v>
      </c>
      <c r="J153" s="13" t="s">
        <v>25</v>
      </c>
      <c r="K153" s="10" t="s">
        <v>30</v>
      </c>
    </row>
    <row r="154" customFormat="false" ht="15" hidden="false" customHeight="false" outlineLevel="0" collapsed="false">
      <c r="A154" s="4" t="s">
        <v>198</v>
      </c>
      <c r="B154" s="4" t="s">
        <v>185</v>
      </c>
      <c r="C154" s="5" t="s">
        <v>24</v>
      </c>
      <c r="D154" s="11" t="s">
        <v>21</v>
      </c>
      <c r="E154" s="4" t="s">
        <v>29</v>
      </c>
      <c r="F154" s="5" t="s">
        <v>16</v>
      </c>
      <c r="G154" s="7" t="n">
        <v>45388</v>
      </c>
      <c r="H154" s="7" t="n">
        <v>45396</v>
      </c>
      <c r="I154" s="4" t="n">
        <v>8</v>
      </c>
      <c r="J154" s="8" t="s">
        <v>17</v>
      </c>
      <c r="K154" s="5" t="s">
        <v>49</v>
      </c>
    </row>
    <row r="155" customFormat="false" ht="15" hidden="false" customHeight="false" outlineLevel="0" collapsed="false">
      <c r="A155" s="9" t="s">
        <v>199</v>
      </c>
      <c r="B155" s="9" t="s">
        <v>185</v>
      </c>
      <c r="C155" s="10" t="s">
        <v>62</v>
      </c>
      <c r="D155" s="11" t="s">
        <v>21</v>
      </c>
      <c r="E155" s="9" t="s">
        <v>15</v>
      </c>
      <c r="F155" s="10" t="s">
        <v>16</v>
      </c>
      <c r="G155" s="12" t="n">
        <v>45389</v>
      </c>
      <c r="H155" s="12" t="n">
        <v>45401</v>
      </c>
      <c r="I155" s="9" t="n">
        <v>12</v>
      </c>
      <c r="J155" s="13" t="s">
        <v>25</v>
      </c>
      <c r="K155" s="10" t="s">
        <v>26</v>
      </c>
    </row>
    <row r="156" customFormat="false" ht="15" hidden="false" customHeight="false" outlineLevel="0" collapsed="false">
      <c r="A156" s="4" t="s">
        <v>200</v>
      </c>
      <c r="B156" s="4" t="s">
        <v>185</v>
      </c>
      <c r="C156" s="5" t="s">
        <v>20</v>
      </c>
      <c r="D156" s="6" t="s">
        <v>14</v>
      </c>
      <c r="E156" s="4" t="s">
        <v>15</v>
      </c>
      <c r="F156" s="5" t="s">
        <v>16</v>
      </c>
      <c r="G156" s="7" t="n">
        <v>45394</v>
      </c>
      <c r="H156" s="7" t="n">
        <v>45397</v>
      </c>
      <c r="I156" s="4" t="n">
        <v>3</v>
      </c>
      <c r="J156" s="8" t="s">
        <v>17</v>
      </c>
      <c r="K156" s="5" t="s">
        <v>49</v>
      </c>
    </row>
    <row r="157" customFormat="false" ht="15" hidden="false" customHeight="false" outlineLevel="0" collapsed="false">
      <c r="A157" s="9" t="s">
        <v>201</v>
      </c>
      <c r="B157" s="9" t="s">
        <v>185</v>
      </c>
      <c r="C157" s="10" t="s">
        <v>62</v>
      </c>
      <c r="D157" s="6" t="s">
        <v>14</v>
      </c>
      <c r="E157" s="9" t="s">
        <v>15</v>
      </c>
      <c r="F157" s="10" t="s">
        <v>16</v>
      </c>
      <c r="G157" s="12" t="n">
        <v>45394</v>
      </c>
      <c r="H157" s="12" t="n">
        <v>45395</v>
      </c>
      <c r="I157" s="9" t="n">
        <v>1</v>
      </c>
      <c r="J157" s="8" t="s">
        <v>17</v>
      </c>
      <c r="K157" s="10" t="s">
        <v>30</v>
      </c>
    </row>
    <row r="158" customFormat="false" ht="15" hidden="false" customHeight="false" outlineLevel="0" collapsed="false">
      <c r="A158" s="4" t="s">
        <v>202</v>
      </c>
      <c r="B158" s="4" t="s">
        <v>185</v>
      </c>
      <c r="C158" s="5" t="s">
        <v>28</v>
      </c>
      <c r="D158" s="11" t="s">
        <v>21</v>
      </c>
      <c r="E158" s="4" t="s">
        <v>29</v>
      </c>
      <c r="F158" s="5" t="s">
        <v>35</v>
      </c>
      <c r="G158" s="7" t="n">
        <v>45386</v>
      </c>
      <c r="H158" s="7" t="n">
        <v>45395</v>
      </c>
      <c r="I158" s="4" t="n">
        <v>9</v>
      </c>
      <c r="J158" s="8" t="s">
        <v>17</v>
      </c>
      <c r="K158" s="5" t="s">
        <v>18</v>
      </c>
    </row>
    <row r="159" customFormat="false" ht="15" hidden="false" customHeight="false" outlineLevel="0" collapsed="false">
      <c r="A159" s="9" t="s">
        <v>203</v>
      </c>
      <c r="B159" s="9" t="s">
        <v>185</v>
      </c>
      <c r="C159" s="10" t="s">
        <v>13</v>
      </c>
      <c r="D159" s="6" t="s">
        <v>14</v>
      </c>
      <c r="E159" s="9" t="s">
        <v>15</v>
      </c>
      <c r="F159" s="10" t="s">
        <v>35</v>
      </c>
      <c r="G159" s="12" t="n">
        <v>45393</v>
      </c>
      <c r="H159" s="12" t="n">
        <v>45394</v>
      </c>
      <c r="I159" s="9" t="n">
        <v>1</v>
      </c>
      <c r="J159" s="8" t="s">
        <v>17</v>
      </c>
      <c r="K159" s="10" t="s">
        <v>26</v>
      </c>
    </row>
    <row r="160" customFormat="false" ht="15" hidden="false" customHeight="false" outlineLevel="0" collapsed="false">
      <c r="A160" s="4" t="s">
        <v>204</v>
      </c>
      <c r="B160" s="4" t="s">
        <v>185</v>
      </c>
      <c r="C160" s="5" t="s">
        <v>13</v>
      </c>
      <c r="D160" s="6" t="s">
        <v>14</v>
      </c>
      <c r="E160" s="4" t="s">
        <v>15</v>
      </c>
      <c r="F160" s="5" t="s">
        <v>16</v>
      </c>
      <c r="G160" s="7" t="n">
        <v>45394</v>
      </c>
      <c r="H160" s="7" t="n">
        <v>45395</v>
      </c>
      <c r="I160" s="4" t="n">
        <v>1</v>
      </c>
      <c r="J160" s="8" t="s">
        <v>17</v>
      </c>
      <c r="K160" s="5" t="s">
        <v>30</v>
      </c>
    </row>
    <row r="161" customFormat="false" ht="15" hidden="false" customHeight="false" outlineLevel="0" collapsed="false">
      <c r="A161" s="9" t="s">
        <v>205</v>
      </c>
      <c r="B161" s="9" t="s">
        <v>185</v>
      </c>
      <c r="C161" s="10" t="s">
        <v>39</v>
      </c>
      <c r="D161" s="6" t="s">
        <v>14</v>
      </c>
      <c r="E161" s="9" t="s">
        <v>15</v>
      </c>
      <c r="F161" s="10" t="s">
        <v>16</v>
      </c>
      <c r="G161" s="12" t="n">
        <v>45395</v>
      </c>
      <c r="H161" s="12" t="n">
        <v>45402</v>
      </c>
      <c r="I161" s="9" t="n">
        <v>7</v>
      </c>
      <c r="J161" s="13" t="s">
        <v>25</v>
      </c>
      <c r="K161" s="10" t="s">
        <v>18</v>
      </c>
    </row>
    <row r="162" customFormat="false" ht="15" hidden="false" customHeight="false" outlineLevel="0" collapsed="false">
      <c r="A162" s="4" t="s">
        <v>206</v>
      </c>
      <c r="B162" s="4" t="s">
        <v>185</v>
      </c>
      <c r="C162" s="5" t="s">
        <v>24</v>
      </c>
      <c r="D162" s="11" t="s">
        <v>21</v>
      </c>
      <c r="E162" s="4" t="s">
        <v>29</v>
      </c>
      <c r="F162" s="5" t="s">
        <v>16</v>
      </c>
      <c r="G162" s="7" t="n">
        <v>45396</v>
      </c>
      <c r="H162" s="7" t="n">
        <v>45402</v>
      </c>
      <c r="I162" s="4" t="n">
        <v>6</v>
      </c>
      <c r="J162" s="8" t="s">
        <v>17</v>
      </c>
      <c r="K162" s="5" t="s">
        <v>30</v>
      </c>
    </row>
    <row r="163" customFormat="false" ht="15" hidden="false" customHeight="false" outlineLevel="0" collapsed="false">
      <c r="A163" s="9" t="s">
        <v>207</v>
      </c>
      <c r="B163" s="9" t="s">
        <v>185</v>
      </c>
      <c r="C163" s="10" t="s">
        <v>28</v>
      </c>
      <c r="D163" s="15" t="s">
        <v>46</v>
      </c>
      <c r="E163" s="9" t="s">
        <v>15</v>
      </c>
      <c r="F163" s="10" t="s">
        <v>58</v>
      </c>
      <c r="G163" s="12" t="n">
        <v>45395</v>
      </c>
      <c r="H163" s="9"/>
      <c r="I163" s="9" t="n">
        <v>17</v>
      </c>
      <c r="J163" s="8" t="s">
        <v>17</v>
      </c>
      <c r="K163" s="10" t="s">
        <v>49</v>
      </c>
    </row>
    <row r="164" customFormat="false" ht="15" hidden="false" customHeight="false" outlineLevel="0" collapsed="false">
      <c r="A164" s="4" t="s">
        <v>208</v>
      </c>
      <c r="B164" s="4" t="s">
        <v>185</v>
      </c>
      <c r="C164" s="5" t="s">
        <v>20</v>
      </c>
      <c r="D164" s="15" t="s">
        <v>46</v>
      </c>
      <c r="E164" s="4" t="s">
        <v>48</v>
      </c>
      <c r="F164" s="5" t="s">
        <v>16</v>
      </c>
      <c r="G164" s="7" t="n">
        <v>45395</v>
      </c>
      <c r="H164" s="7" t="n">
        <v>45406</v>
      </c>
      <c r="I164" s="4" t="n">
        <v>11</v>
      </c>
      <c r="J164" s="8" t="s">
        <v>17</v>
      </c>
      <c r="K164" s="5" t="s">
        <v>30</v>
      </c>
    </row>
    <row r="165" customFormat="false" ht="15" hidden="false" customHeight="false" outlineLevel="0" collapsed="false">
      <c r="A165" s="9" t="s">
        <v>209</v>
      </c>
      <c r="B165" s="9" t="s">
        <v>185</v>
      </c>
      <c r="C165" s="10" t="s">
        <v>45</v>
      </c>
      <c r="D165" s="11" t="s">
        <v>21</v>
      </c>
      <c r="E165" s="9" t="s">
        <v>15</v>
      </c>
      <c r="F165" s="10" t="s">
        <v>16</v>
      </c>
      <c r="G165" s="12" t="n">
        <v>45393</v>
      </c>
      <c r="H165" s="12" t="n">
        <v>45396</v>
      </c>
      <c r="I165" s="9" t="n">
        <v>3</v>
      </c>
      <c r="J165" s="8" t="s">
        <v>17</v>
      </c>
      <c r="K165" s="10" t="s">
        <v>30</v>
      </c>
    </row>
    <row r="166" customFormat="false" ht="15" hidden="false" customHeight="false" outlineLevel="0" collapsed="false">
      <c r="A166" s="4" t="s">
        <v>210</v>
      </c>
      <c r="B166" s="4" t="s">
        <v>185</v>
      </c>
      <c r="C166" s="5" t="s">
        <v>39</v>
      </c>
      <c r="D166" s="6" t="s">
        <v>14</v>
      </c>
      <c r="E166" s="4" t="s">
        <v>29</v>
      </c>
      <c r="F166" s="5" t="s">
        <v>77</v>
      </c>
      <c r="G166" s="7" t="n">
        <v>45391</v>
      </c>
      <c r="H166" s="4"/>
      <c r="I166" s="4" t="n">
        <v>21</v>
      </c>
      <c r="J166" s="13" t="s">
        <v>25</v>
      </c>
      <c r="K166" s="5" t="s">
        <v>18</v>
      </c>
    </row>
    <row r="167" customFormat="false" ht="15" hidden="false" customHeight="false" outlineLevel="0" collapsed="false">
      <c r="A167" s="9" t="s">
        <v>211</v>
      </c>
      <c r="B167" s="9" t="s">
        <v>212</v>
      </c>
      <c r="C167" s="10" t="s">
        <v>45</v>
      </c>
      <c r="D167" s="11" t="s">
        <v>21</v>
      </c>
      <c r="E167" s="9" t="s">
        <v>15</v>
      </c>
      <c r="F167" s="10" t="s">
        <v>16</v>
      </c>
      <c r="G167" s="12" t="n">
        <v>45408</v>
      </c>
      <c r="H167" s="12" t="n">
        <v>45411</v>
      </c>
      <c r="I167" s="9" t="n">
        <v>3</v>
      </c>
      <c r="J167" s="8" t="s">
        <v>17</v>
      </c>
      <c r="K167" s="10" t="s">
        <v>26</v>
      </c>
    </row>
    <row r="168" customFormat="false" ht="15" hidden="false" customHeight="false" outlineLevel="0" collapsed="false">
      <c r="A168" s="4" t="s">
        <v>213</v>
      </c>
      <c r="B168" s="4" t="s">
        <v>212</v>
      </c>
      <c r="C168" s="5" t="s">
        <v>13</v>
      </c>
      <c r="D168" s="6" t="s">
        <v>14</v>
      </c>
      <c r="E168" s="4" t="s">
        <v>48</v>
      </c>
      <c r="F168" s="5" t="s">
        <v>16</v>
      </c>
      <c r="G168" s="7" t="n">
        <v>45404</v>
      </c>
      <c r="H168" s="7" t="n">
        <v>45405</v>
      </c>
      <c r="I168" s="4" t="n">
        <v>1</v>
      </c>
      <c r="J168" s="8" t="s">
        <v>17</v>
      </c>
      <c r="K168" s="5" t="s">
        <v>40</v>
      </c>
    </row>
    <row r="169" customFormat="false" ht="15" hidden="false" customHeight="false" outlineLevel="0" collapsed="false">
      <c r="A169" s="9" t="s">
        <v>214</v>
      </c>
      <c r="B169" s="9" t="s">
        <v>212</v>
      </c>
      <c r="C169" s="10" t="s">
        <v>45</v>
      </c>
      <c r="D169" s="15" t="s">
        <v>46</v>
      </c>
      <c r="E169" s="9" t="s">
        <v>29</v>
      </c>
      <c r="F169" s="10" t="s">
        <v>16</v>
      </c>
      <c r="G169" s="12" t="n">
        <v>45407</v>
      </c>
      <c r="H169" s="12" t="n">
        <v>45429</v>
      </c>
      <c r="I169" s="9" t="n">
        <v>22</v>
      </c>
      <c r="J169" s="13" t="s">
        <v>25</v>
      </c>
      <c r="K169" s="10" t="s">
        <v>18</v>
      </c>
    </row>
    <row r="170" customFormat="false" ht="15" hidden="false" customHeight="false" outlineLevel="0" collapsed="false">
      <c r="A170" s="4" t="s">
        <v>215</v>
      </c>
      <c r="B170" s="4" t="s">
        <v>212</v>
      </c>
      <c r="C170" s="5" t="s">
        <v>62</v>
      </c>
      <c r="D170" s="11" t="s">
        <v>21</v>
      </c>
      <c r="E170" s="4" t="s">
        <v>29</v>
      </c>
      <c r="F170" s="5" t="s">
        <v>16</v>
      </c>
      <c r="G170" s="7" t="n">
        <v>45398</v>
      </c>
      <c r="H170" s="7" t="n">
        <v>45410</v>
      </c>
      <c r="I170" s="4" t="n">
        <v>12</v>
      </c>
      <c r="J170" s="13" t="s">
        <v>25</v>
      </c>
      <c r="K170" s="5" t="s">
        <v>18</v>
      </c>
    </row>
    <row r="171" customFormat="false" ht="15" hidden="false" customHeight="false" outlineLevel="0" collapsed="false">
      <c r="A171" s="9" t="s">
        <v>216</v>
      </c>
      <c r="B171" s="9" t="s">
        <v>212</v>
      </c>
      <c r="C171" s="10" t="s">
        <v>28</v>
      </c>
      <c r="D171" s="11" t="s">
        <v>21</v>
      </c>
      <c r="E171" s="9" t="s">
        <v>48</v>
      </c>
      <c r="F171" s="10" t="s">
        <v>77</v>
      </c>
      <c r="G171" s="12" t="n">
        <v>45402</v>
      </c>
      <c r="H171" s="9"/>
      <c r="I171" s="9" t="n">
        <v>10</v>
      </c>
      <c r="J171" s="8" t="s">
        <v>17</v>
      </c>
      <c r="K171" s="10" t="s">
        <v>49</v>
      </c>
    </row>
    <row r="172" customFormat="false" ht="15" hidden="false" customHeight="false" outlineLevel="0" collapsed="false">
      <c r="A172" s="4" t="s">
        <v>217</v>
      </c>
      <c r="B172" s="4" t="s">
        <v>212</v>
      </c>
      <c r="C172" s="5" t="s">
        <v>39</v>
      </c>
      <c r="D172" s="11" t="s">
        <v>21</v>
      </c>
      <c r="E172" s="4" t="s">
        <v>29</v>
      </c>
      <c r="F172" s="5" t="s">
        <v>16</v>
      </c>
      <c r="G172" s="7" t="n">
        <v>45407</v>
      </c>
      <c r="H172" s="7" t="n">
        <v>45411</v>
      </c>
      <c r="I172" s="4" t="n">
        <v>4</v>
      </c>
      <c r="J172" s="8" t="s">
        <v>17</v>
      </c>
      <c r="K172" s="5" t="s">
        <v>26</v>
      </c>
    </row>
    <row r="173" customFormat="false" ht="15" hidden="false" customHeight="false" outlineLevel="0" collapsed="false">
      <c r="A173" s="9" t="s">
        <v>218</v>
      </c>
      <c r="B173" s="9" t="s">
        <v>212</v>
      </c>
      <c r="C173" s="10" t="s">
        <v>62</v>
      </c>
      <c r="D173" s="6" t="s">
        <v>14</v>
      </c>
      <c r="E173" s="9" t="s">
        <v>29</v>
      </c>
      <c r="F173" s="10" t="s">
        <v>58</v>
      </c>
      <c r="G173" s="12" t="n">
        <v>45410</v>
      </c>
      <c r="H173" s="9"/>
      <c r="I173" s="9" t="n">
        <v>2</v>
      </c>
      <c r="J173" s="8" t="s">
        <v>17</v>
      </c>
      <c r="K173" s="10" t="s">
        <v>26</v>
      </c>
    </row>
    <row r="174" customFormat="false" ht="15" hidden="false" customHeight="false" outlineLevel="0" collapsed="false">
      <c r="A174" s="4" t="s">
        <v>219</v>
      </c>
      <c r="B174" s="4" t="s">
        <v>212</v>
      </c>
      <c r="C174" s="5" t="s">
        <v>39</v>
      </c>
      <c r="D174" s="11" t="s">
        <v>21</v>
      </c>
      <c r="E174" s="4" t="s">
        <v>15</v>
      </c>
      <c r="F174" s="5" t="s">
        <v>16</v>
      </c>
      <c r="G174" s="7" t="n">
        <v>45397</v>
      </c>
      <c r="H174" s="7" t="n">
        <v>45398</v>
      </c>
      <c r="I174" s="4" t="n">
        <v>1</v>
      </c>
      <c r="J174" s="8" t="s">
        <v>17</v>
      </c>
      <c r="K174" s="5" t="s">
        <v>40</v>
      </c>
    </row>
    <row r="175" customFormat="false" ht="15" hidden="false" customHeight="false" outlineLevel="0" collapsed="false">
      <c r="A175" s="9" t="s">
        <v>220</v>
      </c>
      <c r="B175" s="9" t="s">
        <v>212</v>
      </c>
      <c r="C175" s="10" t="s">
        <v>28</v>
      </c>
      <c r="D175" s="15" t="s">
        <v>46</v>
      </c>
      <c r="E175" s="9" t="s">
        <v>15</v>
      </c>
      <c r="F175" s="10" t="s">
        <v>16</v>
      </c>
      <c r="G175" s="12" t="n">
        <v>45410</v>
      </c>
      <c r="H175" s="12" t="n">
        <v>45433</v>
      </c>
      <c r="I175" s="9" t="n">
        <v>23</v>
      </c>
      <c r="J175" s="13" t="s">
        <v>25</v>
      </c>
      <c r="K175" s="10" t="s">
        <v>18</v>
      </c>
    </row>
    <row r="176" customFormat="false" ht="15" hidden="false" customHeight="false" outlineLevel="0" collapsed="false">
      <c r="A176" s="4" t="s">
        <v>221</v>
      </c>
      <c r="B176" s="4" t="s">
        <v>212</v>
      </c>
      <c r="C176" s="5" t="s">
        <v>20</v>
      </c>
      <c r="D176" s="6" t="s">
        <v>14</v>
      </c>
      <c r="E176" s="4" t="s">
        <v>48</v>
      </c>
      <c r="F176" s="5" t="s">
        <v>16</v>
      </c>
      <c r="G176" s="7" t="n">
        <v>45399</v>
      </c>
      <c r="H176" s="7" t="n">
        <v>45407</v>
      </c>
      <c r="I176" s="4" t="n">
        <v>8</v>
      </c>
      <c r="J176" s="13" t="s">
        <v>25</v>
      </c>
      <c r="K176" s="5" t="s">
        <v>30</v>
      </c>
    </row>
    <row r="177" customFormat="false" ht="15" hidden="false" customHeight="false" outlineLevel="0" collapsed="false">
      <c r="A177" s="9" t="s">
        <v>222</v>
      </c>
      <c r="B177" s="9" t="s">
        <v>212</v>
      </c>
      <c r="C177" s="10" t="s">
        <v>42</v>
      </c>
      <c r="D177" s="15" t="s">
        <v>46</v>
      </c>
      <c r="E177" s="9" t="s">
        <v>29</v>
      </c>
      <c r="F177" s="10" t="s">
        <v>58</v>
      </c>
      <c r="G177" s="12" t="n">
        <v>45401</v>
      </c>
      <c r="H177" s="9"/>
      <c r="I177" s="9" t="n">
        <v>11</v>
      </c>
      <c r="J177" s="8" t="s">
        <v>17</v>
      </c>
      <c r="K177" s="10" t="s">
        <v>26</v>
      </c>
    </row>
    <row r="178" customFormat="false" ht="15" hidden="false" customHeight="false" outlineLevel="0" collapsed="false">
      <c r="A178" s="4" t="s">
        <v>223</v>
      </c>
      <c r="B178" s="4" t="s">
        <v>212</v>
      </c>
      <c r="C178" s="5" t="s">
        <v>28</v>
      </c>
      <c r="D178" s="11" t="s">
        <v>21</v>
      </c>
      <c r="E178" s="4" t="s">
        <v>22</v>
      </c>
      <c r="F178" s="5" t="s">
        <v>77</v>
      </c>
      <c r="G178" s="7" t="n">
        <v>45409</v>
      </c>
      <c r="H178" s="4"/>
      <c r="I178" s="4" t="n">
        <v>3</v>
      </c>
      <c r="J178" s="8" t="s">
        <v>17</v>
      </c>
      <c r="K178" s="5" t="s">
        <v>18</v>
      </c>
    </row>
    <row r="179" customFormat="false" ht="15" hidden="false" customHeight="false" outlineLevel="0" collapsed="false">
      <c r="A179" s="9" t="s">
        <v>224</v>
      </c>
      <c r="B179" s="9" t="s">
        <v>212</v>
      </c>
      <c r="C179" s="10" t="s">
        <v>45</v>
      </c>
      <c r="D179" s="6" t="s">
        <v>14</v>
      </c>
      <c r="E179" s="9" t="s">
        <v>29</v>
      </c>
      <c r="F179" s="10" t="s">
        <v>58</v>
      </c>
      <c r="G179" s="12" t="n">
        <v>45408</v>
      </c>
      <c r="H179" s="9"/>
      <c r="I179" s="9" t="n">
        <v>4</v>
      </c>
      <c r="J179" s="8" t="s">
        <v>17</v>
      </c>
      <c r="K179" s="10" t="s">
        <v>18</v>
      </c>
    </row>
    <row r="180" customFormat="false" ht="15" hidden="false" customHeight="false" outlineLevel="0" collapsed="false">
      <c r="A180" s="4" t="s">
        <v>225</v>
      </c>
      <c r="B180" s="4" t="s">
        <v>212</v>
      </c>
      <c r="C180" s="5" t="s">
        <v>13</v>
      </c>
      <c r="D180" s="6" t="s">
        <v>14</v>
      </c>
      <c r="E180" s="4" t="s">
        <v>22</v>
      </c>
      <c r="F180" s="5" t="s">
        <v>16</v>
      </c>
      <c r="G180" s="7" t="n">
        <v>45402</v>
      </c>
      <c r="H180" s="7" t="n">
        <v>45409</v>
      </c>
      <c r="I180" s="4" t="n">
        <v>7</v>
      </c>
      <c r="J180" s="13" t="s">
        <v>25</v>
      </c>
      <c r="K180" s="5" t="s">
        <v>49</v>
      </c>
    </row>
    <row r="181" customFormat="false" ht="15" hidden="false" customHeight="false" outlineLevel="0" collapsed="false">
      <c r="A181" s="9" t="s">
        <v>226</v>
      </c>
      <c r="B181" s="9" t="s">
        <v>212</v>
      </c>
      <c r="C181" s="10" t="s">
        <v>24</v>
      </c>
      <c r="D181" s="11" t="s">
        <v>21</v>
      </c>
      <c r="E181" s="9" t="s">
        <v>48</v>
      </c>
      <c r="F181" s="10" t="s">
        <v>77</v>
      </c>
      <c r="G181" s="12" t="n">
        <v>45409</v>
      </c>
      <c r="H181" s="9"/>
      <c r="I181" s="9" t="n">
        <v>3</v>
      </c>
      <c r="J181" s="8" t="s">
        <v>17</v>
      </c>
      <c r="K181" s="10" t="s">
        <v>49</v>
      </c>
    </row>
    <row r="182" customFormat="false" ht="15" hidden="false" customHeight="false" outlineLevel="0" collapsed="false">
      <c r="A182" s="4" t="s">
        <v>227</v>
      </c>
      <c r="B182" s="4" t="s">
        <v>212</v>
      </c>
      <c r="C182" s="5" t="s">
        <v>45</v>
      </c>
      <c r="D182" s="11" t="s">
        <v>21</v>
      </c>
      <c r="E182" s="4" t="s">
        <v>22</v>
      </c>
      <c r="F182" s="5" t="s">
        <v>33</v>
      </c>
      <c r="G182" s="7" t="n">
        <v>45410</v>
      </c>
      <c r="H182" s="4"/>
      <c r="I182" s="4" t="n">
        <v>2</v>
      </c>
      <c r="J182" s="8" t="s">
        <v>17</v>
      </c>
      <c r="K182" s="5" t="s">
        <v>49</v>
      </c>
    </row>
    <row r="183" customFormat="false" ht="15" hidden="false" customHeight="false" outlineLevel="0" collapsed="false">
      <c r="A183" s="9" t="s">
        <v>228</v>
      </c>
      <c r="B183" s="9" t="s">
        <v>212</v>
      </c>
      <c r="C183" s="10" t="s">
        <v>13</v>
      </c>
      <c r="D183" s="11" t="s">
        <v>21</v>
      </c>
      <c r="E183" s="9" t="s">
        <v>15</v>
      </c>
      <c r="F183" s="10" t="s">
        <v>35</v>
      </c>
      <c r="G183" s="12" t="n">
        <v>45398</v>
      </c>
      <c r="H183" s="12" t="n">
        <v>45411</v>
      </c>
      <c r="I183" s="9" t="n">
        <v>13</v>
      </c>
      <c r="J183" s="13" t="s">
        <v>25</v>
      </c>
      <c r="K183" s="10" t="s">
        <v>30</v>
      </c>
    </row>
    <row r="184" customFormat="false" ht="15" hidden="false" customHeight="false" outlineLevel="0" collapsed="false">
      <c r="A184" s="4" t="s">
        <v>229</v>
      </c>
      <c r="B184" s="4" t="s">
        <v>212</v>
      </c>
      <c r="C184" s="5" t="s">
        <v>39</v>
      </c>
      <c r="D184" s="11" t="s">
        <v>21</v>
      </c>
      <c r="E184" s="4" t="s">
        <v>22</v>
      </c>
      <c r="F184" s="5" t="s">
        <v>16</v>
      </c>
      <c r="G184" s="7" t="n">
        <v>45407</v>
      </c>
      <c r="H184" s="7" t="n">
        <v>45415</v>
      </c>
      <c r="I184" s="4" t="n">
        <v>8</v>
      </c>
      <c r="J184" s="8" t="s">
        <v>17</v>
      </c>
      <c r="K184" s="5" t="s">
        <v>49</v>
      </c>
    </row>
    <row r="185" customFormat="false" ht="15" hidden="false" customHeight="false" outlineLevel="0" collapsed="false">
      <c r="A185" s="9" t="s">
        <v>230</v>
      </c>
      <c r="B185" s="9" t="s">
        <v>212</v>
      </c>
      <c r="C185" s="10" t="s">
        <v>13</v>
      </c>
      <c r="D185" s="15" t="s">
        <v>46</v>
      </c>
      <c r="E185" s="9" t="s">
        <v>15</v>
      </c>
      <c r="F185" s="10" t="s">
        <v>16</v>
      </c>
      <c r="G185" s="12" t="n">
        <v>45406</v>
      </c>
      <c r="H185" s="12" t="n">
        <v>45418</v>
      </c>
      <c r="I185" s="9" t="n">
        <v>12</v>
      </c>
      <c r="J185" s="8" t="s">
        <v>17</v>
      </c>
      <c r="K185" s="10" t="s">
        <v>26</v>
      </c>
    </row>
    <row r="186" customFormat="false" ht="15" hidden="false" customHeight="false" outlineLevel="0" collapsed="false">
      <c r="A186" s="4" t="s">
        <v>231</v>
      </c>
      <c r="B186" s="4" t="s">
        <v>212</v>
      </c>
      <c r="C186" s="5" t="s">
        <v>45</v>
      </c>
      <c r="D186" s="15" t="s">
        <v>46</v>
      </c>
      <c r="E186" s="4" t="s">
        <v>15</v>
      </c>
      <c r="F186" s="5" t="s">
        <v>35</v>
      </c>
      <c r="G186" s="7" t="n">
        <v>45408</v>
      </c>
      <c r="H186" s="7" t="n">
        <v>45413</v>
      </c>
      <c r="I186" s="4" t="n">
        <v>5</v>
      </c>
      <c r="J186" s="8" t="s">
        <v>17</v>
      </c>
      <c r="K186" s="5" t="s">
        <v>49</v>
      </c>
    </row>
    <row r="187" customFormat="false" ht="15" hidden="false" customHeight="false" outlineLevel="0" collapsed="false">
      <c r="A187" s="9" t="s">
        <v>232</v>
      </c>
      <c r="B187" s="9" t="s">
        <v>212</v>
      </c>
      <c r="C187" s="10" t="s">
        <v>13</v>
      </c>
      <c r="D187" s="15" t="s">
        <v>46</v>
      </c>
      <c r="E187" s="9" t="s">
        <v>15</v>
      </c>
      <c r="F187" s="10" t="s">
        <v>35</v>
      </c>
      <c r="G187" s="12" t="n">
        <v>45403</v>
      </c>
      <c r="H187" s="12" t="n">
        <v>45415</v>
      </c>
      <c r="I187" s="9" t="n">
        <v>12</v>
      </c>
      <c r="J187" s="8" t="s">
        <v>17</v>
      </c>
      <c r="K187" s="10" t="s">
        <v>30</v>
      </c>
    </row>
  </sheetData>
  <autoFilter ref="A1:K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1"/>
    <col collapsed="false" customWidth="true" hidden="false" outlineLevel="0" max="4" min="4" style="0" width="10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7" min="7" style="0" width="11"/>
    <col collapsed="false" customWidth="true" hidden="false" outlineLevel="0" max="8" min="8" style="0" width="16"/>
    <col collapsed="false" customWidth="true" hidden="false" outlineLevel="0" max="9" min="9" style="0" width="20"/>
    <col collapsed="false" customWidth="true" hidden="false" outlineLevel="0" max="10" min="10" style="0" width="14"/>
    <col collapsed="false" customWidth="true" hidden="false" outlineLevel="0" max="11" min="11" style="0" width="16"/>
    <col collapsed="false" customWidth="true" hidden="false" outlineLevel="0" max="12" min="12" style="0" width="12"/>
  </cols>
  <sheetData>
    <row r="1" customFormat="false" ht="42" hidden="false" customHeight="true" outlineLevel="0" collapsed="false">
      <c r="A1" s="16" t="s">
        <v>233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customFormat="false" ht="21.75" hidden="false" customHeight="true" outlineLevel="0" collapsed="false">
      <c r="A2" s="17" t="s">
        <v>234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</row>
    <row r="3" customFormat="false" ht="7.5" hidden="false" customHeight="true" outlineLevel="0" collapsed="false"/>
    <row r="4" customFormat="false" ht="33.75" hidden="false" customHeight="true" outlineLevel="0" collapsed="false">
      <c r="A4" s="18" t="s">
        <v>1</v>
      </c>
      <c r="B4" s="1" t="s">
        <v>235</v>
      </c>
      <c r="C4" s="3" t="s">
        <v>37</v>
      </c>
      <c r="D4" s="19" t="s">
        <v>14</v>
      </c>
      <c r="E4" s="20" t="s">
        <v>21</v>
      </c>
      <c r="F4" s="21" t="s">
        <v>46</v>
      </c>
      <c r="G4" s="2" t="s">
        <v>16</v>
      </c>
      <c r="H4" s="1" t="s">
        <v>236</v>
      </c>
      <c r="I4" s="2" t="s">
        <v>237</v>
      </c>
      <c r="J4" s="3" t="s">
        <v>238</v>
      </c>
      <c r="K4" s="1" t="s">
        <v>239</v>
      </c>
      <c r="L4" s="21" t="s">
        <v>240</v>
      </c>
    </row>
    <row r="5" customFormat="false" ht="21.75" hidden="false" customHeight="true" outlineLevel="0" collapsed="false">
      <c r="A5" s="9" t="s">
        <v>12</v>
      </c>
      <c r="B5" s="9" t="n">
        <v>28</v>
      </c>
      <c r="C5" s="22" t="n">
        <v>2</v>
      </c>
      <c r="D5" s="9" t="n">
        <v>11</v>
      </c>
      <c r="E5" s="9" t="n">
        <v>11</v>
      </c>
      <c r="F5" s="9" t="n">
        <v>4</v>
      </c>
      <c r="G5" s="9" t="n">
        <v>22</v>
      </c>
      <c r="H5" s="23" t="n">
        <f aca="false">G5/B5</f>
        <v>0.785714285714286</v>
      </c>
      <c r="I5" s="9" t="n">
        <v>5.5</v>
      </c>
      <c r="J5" s="13" t="n">
        <v>14</v>
      </c>
      <c r="K5" s="9" t="n">
        <v>134</v>
      </c>
      <c r="L5" s="23" t="n">
        <v>0.938</v>
      </c>
    </row>
    <row r="6" customFormat="false" ht="21.75" hidden="false" customHeight="true" outlineLevel="0" collapsed="false">
      <c r="A6" s="4" t="s">
        <v>68</v>
      </c>
      <c r="B6" s="4" t="n">
        <v>19</v>
      </c>
      <c r="C6" s="22" t="n">
        <v>1</v>
      </c>
      <c r="D6" s="4" t="n">
        <v>5</v>
      </c>
      <c r="E6" s="4" t="n">
        <v>9</v>
      </c>
      <c r="F6" s="4" t="n">
        <v>4</v>
      </c>
      <c r="G6" s="4" t="n">
        <v>14</v>
      </c>
      <c r="H6" s="23" t="n">
        <f aca="false">G6/B6</f>
        <v>0.736842105263158</v>
      </c>
      <c r="I6" s="4" t="n">
        <v>5.6</v>
      </c>
      <c r="J6" s="13" t="n">
        <v>8</v>
      </c>
      <c r="K6" s="4" t="n">
        <v>120</v>
      </c>
      <c r="L6" s="23" t="n">
        <v>0.7977</v>
      </c>
    </row>
    <row r="7" customFormat="false" ht="21.75" hidden="false" customHeight="true" outlineLevel="0" collapsed="false">
      <c r="A7" s="9" t="s">
        <v>89</v>
      </c>
      <c r="B7" s="9" t="n">
        <v>22</v>
      </c>
      <c r="C7" s="22" t="n">
        <v>3</v>
      </c>
      <c r="D7" s="9" t="n">
        <v>4</v>
      </c>
      <c r="E7" s="9" t="n">
        <v>11</v>
      </c>
      <c r="F7" s="9" t="n">
        <v>4</v>
      </c>
      <c r="G7" s="9" t="n">
        <v>17</v>
      </c>
      <c r="H7" s="23" t="n">
        <f aca="false">G7/B7</f>
        <v>0.772727272727273</v>
      </c>
      <c r="I7" s="9" t="n">
        <v>7.2</v>
      </c>
      <c r="J7" s="13" t="n">
        <v>12</v>
      </c>
      <c r="K7" s="9" t="n">
        <v>112</v>
      </c>
      <c r="L7" s="23" t="n">
        <v>0.7983</v>
      </c>
    </row>
    <row r="8" customFormat="false" ht="21.75" hidden="false" customHeight="true" outlineLevel="0" collapsed="false">
      <c r="A8" s="4" t="s">
        <v>112</v>
      </c>
      <c r="B8" s="4" t="n">
        <v>25</v>
      </c>
      <c r="C8" s="4" t="n">
        <v>0</v>
      </c>
      <c r="D8" s="4" t="n">
        <v>9</v>
      </c>
      <c r="E8" s="4" t="n">
        <v>14</v>
      </c>
      <c r="F8" s="4" t="n">
        <v>2</v>
      </c>
      <c r="G8" s="4" t="n">
        <v>18</v>
      </c>
      <c r="H8" s="23" t="n">
        <f aca="false">G8/B8</f>
        <v>0.72</v>
      </c>
      <c r="I8" s="4" t="n">
        <v>6.3</v>
      </c>
      <c r="J8" s="13" t="n">
        <v>12</v>
      </c>
      <c r="K8" s="4" t="n">
        <v>127</v>
      </c>
      <c r="L8" s="23" t="n">
        <v>0.9204</v>
      </c>
    </row>
    <row r="9" customFormat="false" ht="21.75" hidden="false" customHeight="true" outlineLevel="0" collapsed="false">
      <c r="A9" s="9" t="s">
        <v>138</v>
      </c>
      <c r="B9" s="9" t="n">
        <v>27</v>
      </c>
      <c r="C9" s="22" t="n">
        <v>5</v>
      </c>
      <c r="D9" s="9" t="n">
        <v>10</v>
      </c>
      <c r="E9" s="9" t="n">
        <v>8</v>
      </c>
      <c r="F9" s="9" t="n">
        <v>4</v>
      </c>
      <c r="G9" s="9" t="n">
        <v>22</v>
      </c>
      <c r="H9" s="23" t="n">
        <f aca="false">G9/B9</f>
        <v>0.814814814814815</v>
      </c>
      <c r="I9" s="9" t="n">
        <v>6.1</v>
      </c>
      <c r="J9" s="13" t="n">
        <v>11</v>
      </c>
      <c r="K9" s="9" t="n">
        <v>99</v>
      </c>
      <c r="L9" s="23" t="n">
        <v>0.9342</v>
      </c>
    </row>
    <row r="10" customFormat="false" ht="21.75" hidden="false" customHeight="true" outlineLevel="0" collapsed="false">
      <c r="A10" s="4" t="s">
        <v>166</v>
      </c>
      <c r="B10" s="4" t="n">
        <v>18</v>
      </c>
      <c r="C10" s="22" t="n">
        <v>3</v>
      </c>
      <c r="D10" s="4" t="n">
        <v>6</v>
      </c>
      <c r="E10" s="4" t="n">
        <v>7</v>
      </c>
      <c r="F10" s="4" t="n">
        <v>2</v>
      </c>
      <c r="G10" s="4" t="n">
        <v>16</v>
      </c>
      <c r="H10" s="23" t="n">
        <f aca="false">G10/B10</f>
        <v>0.888888888888889</v>
      </c>
      <c r="I10" s="4" t="n">
        <v>6.6</v>
      </c>
      <c r="J10" s="13" t="n">
        <v>10</v>
      </c>
      <c r="K10" s="4" t="n">
        <v>140</v>
      </c>
      <c r="L10" s="23" t="n">
        <v>0.8857</v>
      </c>
    </row>
    <row r="11" customFormat="false" ht="21.75" hidden="false" customHeight="true" outlineLevel="0" collapsed="false">
      <c r="A11" s="9" t="s">
        <v>185</v>
      </c>
      <c r="B11" s="9" t="n">
        <v>26</v>
      </c>
      <c r="C11" s="22" t="n">
        <v>4</v>
      </c>
      <c r="D11" s="9" t="n">
        <v>8</v>
      </c>
      <c r="E11" s="9" t="n">
        <v>7</v>
      </c>
      <c r="F11" s="9" t="n">
        <v>7</v>
      </c>
      <c r="G11" s="9" t="n">
        <v>22</v>
      </c>
      <c r="H11" s="23" t="n">
        <f aca="false">G11/B11</f>
        <v>0.846153846153846</v>
      </c>
      <c r="I11" s="9" t="n">
        <v>6.8</v>
      </c>
      <c r="J11" s="13" t="n">
        <v>8</v>
      </c>
      <c r="K11" s="9" t="n">
        <v>88</v>
      </c>
      <c r="L11" s="23" t="n">
        <v>0.8914</v>
      </c>
    </row>
    <row r="12" customFormat="false" ht="21.75" hidden="false" customHeight="true" outlineLevel="0" collapsed="false">
      <c r="A12" s="4" t="s">
        <v>212</v>
      </c>
      <c r="B12" s="4" t="n">
        <v>21</v>
      </c>
      <c r="C12" s="4" t="n">
        <v>0</v>
      </c>
      <c r="D12" s="4" t="n">
        <v>5</v>
      </c>
      <c r="E12" s="4" t="n">
        <v>10</v>
      </c>
      <c r="F12" s="4" t="n">
        <v>6</v>
      </c>
      <c r="G12" s="4" t="n">
        <v>14</v>
      </c>
      <c r="H12" s="23" t="n">
        <f aca="false">G12/B12</f>
        <v>0.666666666666667</v>
      </c>
      <c r="I12" s="4" t="n">
        <v>9.4</v>
      </c>
      <c r="J12" s="13" t="n">
        <v>6</v>
      </c>
      <c r="K12" s="4" t="n">
        <v>91</v>
      </c>
      <c r="L12" s="23" t="n">
        <v>0.8867</v>
      </c>
    </row>
    <row r="13" customFormat="false" ht="25.5" hidden="false" customHeight="true" outlineLevel="0" collapsed="false">
      <c r="A13" s="24" t="s">
        <v>241</v>
      </c>
      <c r="B13" s="25" t="n">
        <f aca="false">SUM(B5:B12)</f>
        <v>186</v>
      </c>
      <c r="C13" s="25" t="n">
        <f aca="false">SUM(C5:C12)</f>
        <v>18</v>
      </c>
      <c r="D13" s="25" t="n">
        <f aca="false">SUM(D5:D12)</f>
        <v>58</v>
      </c>
      <c r="E13" s="25" t="n">
        <f aca="false">SUM(E5:E12)</f>
        <v>77</v>
      </c>
      <c r="F13" s="25" t="n">
        <f aca="false">SUM(F5:F12)</f>
        <v>33</v>
      </c>
      <c r="G13" s="25" t="n">
        <f aca="false">SUM(G5:G12)</f>
        <v>145</v>
      </c>
      <c r="H13" s="26" t="n">
        <f aca="false">AVERAGE(H5:H12)</f>
        <v>0.778975985028617</v>
      </c>
      <c r="I13" s="27" t="n">
        <f aca="false">AVERAGE(I5:I12)</f>
        <v>6.6875</v>
      </c>
      <c r="J13" s="25" t="n">
        <f aca="false">SUM(J5:J12)</f>
        <v>81</v>
      </c>
      <c r="K13" s="25" t="n">
        <f aca="false">SUM(K5:K12)</f>
        <v>911</v>
      </c>
      <c r="L13" s="26" t="n">
        <f aca="false">AVERAGE(L5:L12)</f>
        <v>0.88155</v>
      </c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6"/>
  </cols>
  <sheetData>
    <row r="1" customFormat="false" ht="36" hidden="false" customHeight="true" outlineLevel="0" collapsed="false">
      <c r="A1" s="1" t="s">
        <v>0</v>
      </c>
      <c r="B1" s="2" t="s">
        <v>2</v>
      </c>
      <c r="C1" s="3" t="s">
        <v>3</v>
      </c>
      <c r="D1" s="21" t="s">
        <v>5</v>
      </c>
      <c r="E1" s="19" t="s">
        <v>8</v>
      </c>
      <c r="F1" s="1" t="s">
        <v>242</v>
      </c>
      <c r="G1" s="2" t="s">
        <v>243</v>
      </c>
      <c r="H1" s="3" t="s">
        <v>244</v>
      </c>
      <c r="I1" s="21" t="s">
        <v>245</v>
      </c>
    </row>
    <row r="2" customFormat="false" ht="15" hidden="false" customHeight="false" outlineLevel="0" collapsed="false">
      <c r="A2" s="4" t="s">
        <v>32</v>
      </c>
      <c r="B2" s="5" t="s">
        <v>13</v>
      </c>
      <c r="C2" s="11" t="s">
        <v>21</v>
      </c>
      <c r="D2" s="4" t="s">
        <v>33</v>
      </c>
      <c r="E2" s="4" t="n">
        <v>107</v>
      </c>
      <c r="F2" s="4" t="s">
        <v>246</v>
      </c>
      <c r="G2" s="4" t="n">
        <v>10</v>
      </c>
      <c r="H2" s="28" t="s">
        <v>247</v>
      </c>
      <c r="I2" s="4" t="s">
        <v>12</v>
      </c>
    </row>
    <row r="3" customFormat="false" ht="15" hidden="false" customHeight="false" outlineLevel="0" collapsed="false">
      <c r="A3" s="9" t="s">
        <v>54</v>
      </c>
      <c r="B3" s="10" t="s">
        <v>20</v>
      </c>
      <c r="C3" s="15" t="s">
        <v>46</v>
      </c>
      <c r="D3" s="9" t="s">
        <v>33</v>
      </c>
      <c r="E3" s="9" t="n">
        <v>100</v>
      </c>
      <c r="F3" s="9" t="s">
        <v>246</v>
      </c>
      <c r="G3" s="9" t="n">
        <v>20</v>
      </c>
      <c r="H3" s="28" t="s">
        <v>247</v>
      </c>
      <c r="I3" s="9" t="s">
        <v>12</v>
      </c>
    </row>
    <row r="4" customFormat="false" ht="15" hidden="false" customHeight="false" outlineLevel="0" collapsed="false">
      <c r="A4" s="4" t="s">
        <v>56</v>
      </c>
      <c r="B4" s="5" t="s">
        <v>24</v>
      </c>
      <c r="C4" s="11" t="s">
        <v>21</v>
      </c>
      <c r="D4" s="4" t="s">
        <v>33</v>
      </c>
      <c r="E4" s="4" t="n">
        <v>102</v>
      </c>
      <c r="F4" s="4" t="s">
        <v>246</v>
      </c>
      <c r="G4" s="4" t="n">
        <v>10</v>
      </c>
      <c r="H4" s="28" t="s">
        <v>247</v>
      </c>
      <c r="I4" s="4" t="s">
        <v>12</v>
      </c>
    </row>
    <row r="5" customFormat="false" ht="15" hidden="false" customHeight="false" outlineLevel="0" collapsed="false">
      <c r="A5" s="9" t="s">
        <v>57</v>
      </c>
      <c r="B5" s="10" t="s">
        <v>24</v>
      </c>
      <c r="C5" s="11" t="s">
        <v>21</v>
      </c>
      <c r="D5" s="9" t="s">
        <v>58</v>
      </c>
      <c r="E5" s="9" t="n">
        <v>103</v>
      </c>
      <c r="F5" s="9" t="s">
        <v>246</v>
      </c>
      <c r="G5" s="9" t="n">
        <v>10</v>
      </c>
      <c r="H5" s="28" t="s">
        <v>247</v>
      </c>
      <c r="I5" s="9" t="s">
        <v>12</v>
      </c>
    </row>
    <row r="6" customFormat="false" ht="15" hidden="false" customHeight="false" outlineLevel="0" collapsed="false">
      <c r="A6" s="4" t="s">
        <v>61</v>
      </c>
      <c r="B6" s="5" t="s">
        <v>62</v>
      </c>
      <c r="C6" s="6" t="s">
        <v>14</v>
      </c>
      <c r="D6" s="4" t="s">
        <v>58</v>
      </c>
      <c r="E6" s="4" t="n">
        <v>102</v>
      </c>
      <c r="F6" s="4" t="s">
        <v>246</v>
      </c>
      <c r="G6" s="4" t="n">
        <v>5</v>
      </c>
      <c r="H6" s="28" t="s">
        <v>247</v>
      </c>
      <c r="I6" s="4" t="s">
        <v>12</v>
      </c>
    </row>
    <row r="7" customFormat="false" ht="15" hidden="false" customHeight="false" outlineLevel="0" collapsed="false">
      <c r="A7" s="9" t="s">
        <v>63</v>
      </c>
      <c r="B7" s="10" t="s">
        <v>62</v>
      </c>
      <c r="C7" s="15" t="s">
        <v>46</v>
      </c>
      <c r="D7" s="9" t="s">
        <v>58</v>
      </c>
      <c r="E7" s="9" t="n">
        <v>103</v>
      </c>
      <c r="F7" s="9" t="s">
        <v>246</v>
      </c>
      <c r="G7" s="9" t="n">
        <v>20</v>
      </c>
      <c r="H7" s="28" t="s">
        <v>247</v>
      </c>
      <c r="I7" s="9" t="s">
        <v>12</v>
      </c>
    </row>
    <row r="8" customFormat="false" ht="15" hidden="false" customHeight="false" outlineLevel="0" collapsed="false">
      <c r="A8" s="4" t="s">
        <v>67</v>
      </c>
      <c r="B8" s="5" t="s">
        <v>39</v>
      </c>
      <c r="C8" s="11" t="s">
        <v>21</v>
      </c>
      <c r="D8" s="4" t="s">
        <v>58</v>
      </c>
      <c r="E8" s="4" t="n">
        <v>99</v>
      </c>
      <c r="F8" s="4" t="s">
        <v>246</v>
      </c>
      <c r="G8" s="4" t="n">
        <v>10</v>
      </c>
      <c r="H8" s="28" t="s">
        <v>247</v>
      </c>
      <c r="I8" s="4" t="s">
        <v>68</v>
      </c>
    </row>
    <row r="9" customFormat="false" ht="15" hidden="false" customHeight="false" outlineLevel="0" collapsed="false">
      <c r="A9" s="9" t="s">
        <v>74</v>
      </c>
      <c r="B9" s="10" t="s">
        <v>20</v>
      </c>
      <c r="C9" s="15" t="s">
        <v>46</v>
      </c>
      <c r="D9" s="9" t="s">
        <v>58</v>
      </c>
      <c r="E9" s="9" t="n">
        <v>89</v>
      </c>
      <c r="F9" s="9" t="s">
        <v>246</v>
      </c>
      <c r="G9" s="9" t="n">
        <v>20</v>
      </c>
      <c r="H9" s="28" t="s">
        <v>247</v>
      </c>
      <c r="I9" s="9" t="s">
        <v>68</v>
      </c>
    </row>
    <row r="10" customFormat="false" ht="15" hidden="false" customHeight="false" outlineLevel="0" collapsed="false">
      <c r="A10" s="4" t="s">
        <v>76</v>
      </c>
      <c r="B10" s="5" t="s">
        <v>24</v>
      </c>
      <c r="C10" s="15" t="s">
        <v>46</v>
      </c>
      <c r="D10" s="4" t="s">
        <v>77</v>
      </c>
      <c r="E10" s="4" t="n">
        <v>93</v>
      </c>
      <c r="F10" s="4" t="s">
        <v>246</v>
      </c>
      <c r="G10" s="4" t="n">
        <v>20</v>
      </c>
      <c r="H10" s="28" t="s">
        <v>247</v>
      </c>
      <c r="I10" s="4" t="s">
        <v>68</v>
      </c>
    </row>
    <row r="11" customFormat="false" ht="15" hidden="false" customHeight="false" outlineLevel="0" collapsed="false">
      <c r="A11" s="9" t="s">
        <v>79</v>
      </c>
      <c r="B11" s="10" t="s">
        <v>20</v>
      </c>
      <c r="C11" s="6" t="s">
        <v>14</v>
      </c>
      <c r="D11" s="9" t="s">
        <v>58</v>
      </c>
      <c r="E11" s="9" t="n">
        <v>88</v>
      </c>
      <c r="F11" s="9" t="s">
        <v>246</v>
      </c>
      <c r="G11" s="9" t="n">
        <v>5</v>
      </c>
      <c r="H11" s="28" t="s">
        <v>247</v>
      </c>
      <c r="I11" s="9" t="s">
        <v>68</v>
      </c>
    </row>
    <row r="12" customFormat="false" ht="15" hidden="false" customHeight="false" outlineLevel="0" collapsed="false">
      <c r="A12" s="4" t="s">
        <v>85</v>
      </c>
      <c r="B12" s="5" t="s">
        <v>28</v>
      </c>
      <c r="C12" s="11" t="s">
        <v>21</v>
      </c>
      <c r="D12" s="4" t="s">
        <v>33</v>
      </c>
      <c r="E12" s="4" t="n">
        <v>98</v>
      </c>
      <c r="F12" s="4" t="s">
        <v>246</v>
      </c>
      <c r="G12" s="4" t="n">
        <v>10</v>
      </c>
      <c r="H12" s="28" t="s">
        <v>247</v>
      </c>
      <c r="I12" s="4" t="s">
        <v>68</v>
      </c>
    </row>
    <row r="13" customFormat="false" ht="15" hidden="false" customHeight="false" outlineLevel="0" collapsed="false">
      <c r="A13" s="9" t="s">
        <v>92</v>
      </c>
      <c r="B13" s="10" t="s">
        <v>42</v>
      </c>
      <c r="C13" s="14" t="s">
        <v>37</v>
      </c>
      <c r="D13" s="9" t="s">
        <v>58</v>
      </c>
      <c r="E13" s="9" t="n">
        <v>81</v>
      </c>
      <c r="F13" s="9" t="s">
        <v>246</v>
      </c>
      <c r="G13" s="9" t="n">
        <v>2</v>
      </c>
      <c r="H13" s="28" t="s">
        <v>247</v>
      </c>
      <c r="I13" s="9" t="s">
        <v>89</v>
      </c>
    </row>
    <row r="14" customFormat="false" ht="15" hidden="false" customHeight="false" outlineLevel="0" collapsed="false">
      <c r="A14" s="4" t="s">
        <v>93</v>
      </c>
      <c r="B14" s="5" t="s">
        <v>42</v>
      </c>
      <c r="C14" s="11" t="s">
        <v>21</v>
      </c>
      <c r="D14" s="4" t="s">
        <v>77</v>
      </c>
      <c r="E14" s="4" t="n">
        <v>84</v>
      </c>
      <c r="F14" s="4" t="s">
        <v>246</v>
      </c>
      <c r="G14" s="4" t="n">
        <v>10</v>
      </c>
      <c r="H14" s="28" t="s">
        <v>247</v>
      </c>
      <c r="I14" s="4" t="s">
        <v>89</v>
      </c>
    </row>
    <row r="15" customFormat="false" ht="15" hidden="false" customHeight="false" outlineLevel="0" collapsed="false">
      <c r="A15" s="9" t="s">
        <v>95</v>
      </c>
      <c r="B15" s="10" t="s">
        <v>39</v>
      </c>
      <c r="C15" s="6" t="s">
        <v>14</v>
      </c>
      <c r="D15" s="9" t="s">
        <v>33</v>
      </c>
      <c r="E15" s="9" t="n">
        <v>85</v>
      </c>
      <c r="F15" s="9" t="s">
        <v>246</v>
      </c>
      <c r="G15" s="9" t="n">
        <v>5</v>
      </c>
      <c r="H15" s="28" t="s">
        <v>247</v>
      </c>
      <c r="I15" s="9" t="s">
        <v>89</v>
      </c>
    </row>
    <row r="16" customFormat="false" ht="15" hidden="false" customHeight="false" outlineLevel="0" collapsed="false">
      <c r="A16" s="4" t="s">
        <v>102</v>
      </c>
      <c r="B16" s="5" t="s">
        <v>39</v>
      </c>
      <c r="C16" s="11" t="s">
        <v>21</v>
      </c>
      <c r="D16" s="4" t="s">
        <v>33</v>
      </c>
      <c r="E16" s="4" t="n">
        <v>77</v>
      </c>
      <c r="F16" s="4" t="s">
        <v>246</v>
      </c>
      <c r="G16" s="4" t="n">
        <v>10</v>
      </c>
      <c r="H16" s="28" t="s">
        <v>247</v>
      </c>
      <c r="I16" s="4" t="s">
        <v>89</v>
      </c>
    </row>
    <row r="17" customFormat="false" ht="15" hidden="false" customHeight="false" outlineLevel="0" collapsed="false">
      <c r="A17" s="9" t="s">
        <v>105</v>
      </c>
      <c r="B17" s="10" t="s">
        <v>20</v>
      </c>
      <c r="C17" s="15" t="s">
        <v>46</v>
      </c>
      <c r="D17" s="9" t="s">
        <v>77</v>
      </c>
      <c r="E17" s="9" t="n">
        <v>79</v>
      </c>
      <c r="F17" s="9" t="s">
        <v>246</v>
      </c>
      <c r="G17" s="9" t="n">
        <v>20</v>
      </c>
      <c r="H17" s="28" t="s">
        <v>247</v>
      </c>
      <c r="I17" s="9" t="s">
        <v>89</v>
      </c>
    </row>
    <row r="18" customFormat="false" ht="15" hidden="false" customHeight="false" outlineLevel="0" collapsed="false">
      <c r="A18" s="4" t="s">
        <v>114</v>
      </c>
      <c r="B18" s="5" t="s">
        <v>13</v>
      </c>
      <c r="C18" s="15" t="s">
        <v>46</v>
      </c>
      <c r="D18" s="4" t="s">
        <v>77</v>
      </c>
      <c r="E18" s="4" t="n">
        <v>64</v>
      </c>
      <c r="F18" s="4" t="s">
        <v>246</v>
      </c>
      <c r="G18" s="4" t="n">
        <v>20</v>
      </c>
      <c r="H18" s="28" t="s">
        <v>247</v>
      </c>
      <c r="I18" s="4" t="s">
        <v>112</v>
      </c>
    </row>
    <row r="19" customFormat="false" ht="15" hidden="false" customHeight="false" outlineLevel="0" collapsed="false">
      <c r="A19" s="9" t="s">
        <v>116</v>
      </c>
      <c r="B19" s="10" t="s">
        <v>13</v>
      </c>
      <c r="C19" s="6" t="s">
        <v>14</v>
      </c>
      <c r="D19" s="9" t="s">
        <v>77</v>
      </c>
      <c r="E19" s="9" t="n">
        <v>59</v>
      </c>
      <c r="F19" s="9" t="s">
        <v>246</v>
      </c>
      <c r="G19" s="9" t="n">
        <v>5</v>
      </c>
      <c r="H19" s="28" t="s">
        <v>247</v>
      </c>
      <c r="I19" s="9" t="s">
        <v>112</v>
      </c>
    </row>
    <row r="20" customFormat="false" ht="15" hidden="false" customHeight="false" outlineLevel="0" collapsed="false">
      <c r="A20" s="4" t="s">
        <v>122</v>
      </c>
      <c r="B20" s="5" t="s">
        <v>28</v>
      </c>
      <c r="C20" s="6" t="s">
        <v>14</v>
      </c>
      <c r="D20" s="4" t="s">
        <v>58</v>
      </c>
      <c r="E20" s="4" t="n">
        <v>69</v>
      </c>
      <c r="F20" s="4" t="s">
        <v>246</v>
      </c>
      <c r="G20" s="4" t="n">
        <v>5</v>
      </c>
      <c r="H20" s="28" t="s">
        <v>247</v>
      </c>
      <c r="I20" s="4" t="s">
        <v>112</v>
      </c>
    </row>
    <row r="21" customFormat="false" ht="15" hidden="false" customHeight="false" outlineLevel="0" collapsed="false">
      <c r="A21" s="9" t="s">
        <v>123</v>
      </c>
      <c r="B21" s="10" t="s">
        <v>39</v>
      </c>
      <c r="C21" s="11" t="s">
        <v>21</v>
      </c>
      <c r="D21" s="9" t="s">
        <v>58</v>
      </c>
      <c r="E21" s="9" t="n">
        <v>65</v>
      </c>
      <c r="F21" s="9" t="s">
        <v>246</v>
      </c>
      <c r="G21" s="9" t="n">
        <v>10</v>
      </c>
      <c r="H21" s="28" t="s">
        <v>247</v>
      </c>
      <c r="I21" s="9" t="s">
        <v>112</v>
      </c>
    </row>
    <row r="22" customFormat="false" ht="15" hidden="false" customHeight="false" outlineLevel="0" collapsed="false">
      <c r="A22" s="4" t="s">
        <v>128</v>
      </c>
      <c r="B22" s="5" t="s">
        <v>20</v>
      </c>
      <c r="C22" s="15" t="s">
        <v>46</v>
      </c>
      <c r="D22" s="4" t="s">
        <v>33</v>
      </c>
      <c r="E22" s="4" t="n">
        <v>63</v>
      </c>
      <c r="F22" s="4" t="s">
        <v>246</v>
      </c>
      <c r="G22" s="4" t="n">
        <v>20</v>
      </c>
      <c r="H22" s="28" t="s">
        <v>247</v>
      </c>
      <c r="I22" s="4" t="s">
        <v>112</v>
      </c>
    </row>
    <row r="23" customFormat="false" ht="15" hidden="false" customHeight="false" outlineLevel="0" collapsed="false">
      <c r="A23" s="9" t="s">
        <v>129</v>
      </c>
      <c r="B23" s="10" t="s">
        <v>42</v>
      </c>
      <c r="C23" s="11" t="s">
        <v>21</v>
      </c>
      <c r="D23" s="9" t="s">
        <v>58</v>
      </c>
      <c r="E23" s="9" t="n">
        <v>65</v>
      </c>
      <c r="F23" s="9" t="s">
        <v>246</v>
      </c>
      <c r="G23" s="9" t="n">
        <v>10</v>
      </c>
      <c r="H23" s="28" t="s">
        <v>247</v>
      </c>
      <c r="I23" s="9" t="s">
        <v>112</v>
      </c>
    </row>
    <row r="24" customFormat="false" ht="15" hidden="false" customHeight="false" outlineLevel="0" collapsed="false">
      <c r="A24" s="4" t="s">
        <v>132</v>
      </c>
      <c r="B24" s="5" t="s">
        <v>13</v>
      </c>
      <c r="C24" s="11" t="s">
        <v>21</v>
      </c>
      <c r="D24" s="4" t="s">
        <v>33</v>
      </c>
      <c r="E24" s="4" t="n">
        <v>68</v>
      </c>
      <c r="F24" s="4" t="s">
        <v>246</v>
      </c>
      <c r="G24" s="4" t="n">
        <v>10</v>
      </c>
      <c r="H24" s="28" t="s">
        <v>247</v>
      </c>
      <c r="I24" s="4" t="s">
        <v>112</v>
      </c>
    </row>
    <row r="25" customFormat="false" ht="15" hidden="false" customHeight="false" outlineLevel="0" collapsed="false">
      <c r="A25" s="9" t="s">
        <v>137</v>
      </c>
      <c r="B25" s="10" t="s">
        <v>24</v>
      </c>
      <c r="C25" s="11" t="s">
        <v>21</v>
      </c>
      <c r="D25" s="9" t="s">
        <v>58</v>
      </c>
      <c r="E25" s="9" t="n">
        <v>45</v>
      </c>
      <c r="F25" s="9" t="s">
        <v>246</v>
      </c>
      <c r="G25" s="9" t="n">
        <v>10</v>
      </c>
      <c r="H25" s="28" t="s">
        <v>247</v>
      </c>
      <c r="I25" s="9" t="s">
        <v>138</v>
      </c>
    </row>
    <row r="26" customFormat="false" ht="15" hidden="false" customHeight="false" outlineLevel="0" collapsed="false">
      <c r="A26" s="4" t="s">
        <v>140</v>
      </c>
      <c r="B26" s="5" t="s">
        <v>62</v>
      </c>
      <c r="C26" s="14" t="s">
        <v>37</v>
      </c>
      <c r="D26" s="4" t="s">
        <v>77</v>
      </c>
      <c r="E26" s="4" t="n">
        <v>51</v>
      </c>
      <c r="F26" s="4" t="s">
        <v>246</v>
      </c>
      <c r="G26" s="4" t="n">
        <v>2</v>
      </c>
      <c r="H26" s="28" t="s">
        <v>247</v>
      </c>
      <c r="I26" s="4" t="s">
        <v>138</v>
      </c>
    </row>
    <row r="27" customFormat="false" ht="15" hidden="false" customHeight="false" outlineLevel="0" collapsed="false">
      <c r="A27" s="9" t="s">
        <v>156</v>
      </c>
      <c r="B27" s="10" t="s">
        <v>45</v>
      </c>
      <c r="C27" s="6" t="s">
        <v>14</v>
      </c>
      <c r="D27" s="9" t="s">
        <v>58</v>
      </c>
      <c r="E27" s="9" t="n">
        <v>56</v>
      </c>
      <c r="F27" s="9" t="s">
        <v>246</v>
      </c>
      <c r="G27" s="9" t="n">
        <v>5</v>
      </c>
      <c r="H27" s="28" t="s">
        <v>247</v>
      </c>
      <c r="I27" s="9" t="s">
        <v>138</v>
      </c>
    </row>
    <row r="28" customFormat="false" ht="15" hidden="false" customHeight="false" outlineLevel="0" collapsed="false">
      <c r="A28" s="4" t="s">
        <v>157</v>
      </c>
      <c r="B28" s="5" t="s">
        <v>24</v>
      </c>
      <c r="C28" s="14" t="s">
        <v>37</v>
      </c>
      <c r="D28" s="4" t="s">
        <v>58</v>
      </c>
      <c r="E28" s="4" t="n">
        <v>55</v>
      </c>
      <c r="F28" s="4" t="s">
        <v>246</v>
      </c>
      <c r="G28" s="4" t="n">
        <v>2</v>
      </c>
      <c r="H28" s="28" t="s">
        <v>247</v>
      </c>
      <c r="I28" s="4" t="s">
        <v>138</v>
      </c>
    </row>
    <row r="29" customFormat="false" ht="15" hidden="false" customHeight="false" outlineLevel="0" collapsed="false">
      <c r="A29" s="9" t="s">
        <v>164</v>
      </c>
      <c r="B29" s="10" t="s">
        <v>42</v>
      </c>
      <c r="C29" s="6" t="s">
        <v>14</v>
      </c>
      <c r="D29" s="9" t="s">
        <v>58</v>
      </c>
      <c r="E29" s="9" t="n">
        <v>53</v>
      </c>
      <c r="F29" s="9" t="s">
        <v>246</v>
      </c>
      <c r="G29" s="9" t="n">
        <v>5</v>
      </c>
      <c r="H29" s="28" t="s">
        <v>247</v>
      </c>
      <c r="I29" s="9" t="s">
        <v>138</v>
      </c>
    </row>
    <row r="30" customFormat="false" ht="15" hidden="false" customHeight="false" outlineLevel="0" collapsed="false">
      <c r="A30" s="4" t="s">
        <v>172</v>
      </c>
      <c r="B30" s="5" t="s">
        <v>39</v>
      </c>
      <c r="C30" s="11" t="s">
        <v>21</v>
      </c>
      <c r="D30" s="4" t="s">
        <v>58</v>
      </c>
      <c r="E30" s="4" t="n">
        <v>41</v>
      </c>
      <c r="F30" s="4" t="s">
        <v>246</v>
      </c>
      <c r="G30" s="4" t="n">
        <v>10</v>
      </c>
      <c r="H30" s="28" t="s">
        <v>247</v>
      </c>
      <c r="I30" s="4" t="s">
        <v>166</v>
      </c>
    </row>
    <row r="31" customFormat="false" ht="15" hidden="false" customHeight="false" outlineLevel="0" collapsed="false">
      <c r="A31" s="9" t="s">
        <v>174</v>
      </c>
      <c r="B31" s="10" t="s">
        <v>45</v>
      </c>
      <c r="C31" s="14" t="s">
        <v>37</v>
      </c>
      <c r="D31" s="9" t="s">
        <v>58</v>
      </c>
      <c r="E31" s="9" t="n">
        <v>31</v>
      </c>
      <c r="F31" s="9" t="s">
        <v>246</v>
      </c>
      <c r="G31" s="9" t="n">
        <v>2</v>
      </c>
      <c r="H31" s="28" t="s">
        <v>247</v>
      </c>
      <c r="I31" s="9" t="s">
        <v>166</v>
      </c>
    </row>
    <row r="32" customFormat="false" ht="15" hidden="false" customHeight="false" outlineLevel="0" collapsed="false">
      <c r="A32" s="4" t="s">
        <v>188</v>
      </c>
      <c r="B32" s="5" t="s">
        <v>13</v>
      </c>
      <c r="C32" s="15" t="s">
        <v>46</v>
      </c>
      <c r="D32" s="4" t="s">
        <v>33</v>
      </c>
      <c r="E32" s="4" t="n">
        <v>24</v>
      </c>
      <c r="F32" s="4" t="s">
        <v>248</v>
      </c>
      <c r="G32" s="4" t="n">
        <v>20</v>
      </c>
      <c r="H32" s="11" t="s">
        <v>249</v>
      </c>
      <c r="I32" s="4" t="s">
        <v>185</v>
      </c>
    </row>
    <row r="33" customFormat="false" ht="15" hidden="false" customHeight="false" outlineLevel="0" collapsed="false">
      <c r="A33" s="9" t="s">
        <v>189</v>
      </c>
      <c r="B33" s="10" t="s">
        <v>45</v>
      </c>
      <c r="C33" s="14" t="s">
        <v>37</v>
      </c>
      <c r="D33" s="9" t="s">
        <v>77</v>
      </c>
      <c r="E33" s="9" t="n">
        <v>27</v>
      </c>
      <c r="F33" s="9" t="s">
        <v>246</v>
      </c>
      <c r="G33" s="9" t="n">
        <v>2</v>
      </c>
      <c r="H33" s="28" t="s">
        <v>247</v>
      </c>
      <c r="I33" s="9" t="s">
        <v>185</v>
      </c>
    </row>
    <row r="34" customFormat="false" ht="15" hidden="false" customHeight="false" outlineLevel="0" collapsed="false">
      <c r="A34" s="4" t="s">
        <v>207</v>
      </c>
      <c r="B34" s="5" t="s">
        <v>28</v>
      </c>
      <c r="C34" s="15" t="s">
        <v>46</v>
      </c>
      <c r="D34" s="4" t="s">
        <v>58</v>
      </c>
      <c r="E34" s="4" t="n">
        <v>17</v>
      </c>
      <c r="F34" s="4" t="s">
        <v>250</v>
      </c>
      <c r="G34" s="4" t="n">
        <v>20</v>
      </c>
      <c r="H34" s="8" t="s">
        <v>251</v>
      </c>
      <c r="I34" s="4" t="s">
        <v>185</v>
      </c>
    </row>
    <row r="35" customFormat="false" ht="15" hidden="false" customHeight="false" outlineLevel="0" collapsed="false">
      <c r="A35" s="9" t="s">
        <v>210</v>
      </c>
      <c r="B35" s="10" t="s">
        <v>39</v>
      </c>
      <c r="C35" s="6" t="s">
        <v>14</v>
      </c>
      <c r="D35" s="9" t="s">
        <v>77</v>
      </c>
      <c r="E35" s="9" t="n">
        <v>21</v>
      </c>
      <c r="F35" s="9" t="s">
        <v>246</v>
      </c>
      <c r="G35" s="9" t="n">
        <v>5</v>
      </c>
      <c r="H35" s="28" t="s">
        <v>247</v>
      </c>
      <c r="I35" s="9" t="s">
        <v>185</v>
      </c>
    </row>
    <row r="36" customFormat="false" ht="15" hidden="false" customHeight="false" outlineLevel="0" collapsed="false">
      <c r="A36" s="4" t="s">
        <v>216</v>
      </c>
      <c r="B36" s="5" t="s">
        <v>28</v>
      </c>
      <c r="C36" s="11" t="s">
        <v>21</v>
      </c>
      <c r="D36" s="4" t="s">
        <v>77</v>
      </c>
      <c r="E36" s="4" t="n">
        <v>10</v>
      </c>
      <c r="F36" s="4" t="s">
        <v>250</v>
      </c>
      <c r="G36" s="4" t="n">
        <v>10</v>
      </c>
      <c r="H36" s="8" t="s">
        <v>251</v>
      </c>
      <c r="I36" s="4" t="s">
        <v>212</v>
      </c>
    </row>
    <row r="37" customFormat="false" ht="15" hidden="false" customHeight="false" outlineLevel="0" collapsed="false">
      <c r="A37" s="9" t="s">
        <v>218</v>
      </c>
      <c r="B37" s="10" t="s">
        <v>62</v>
      </c>
      <c r="C37" s="6" t="s">
        <v>14</v>
      </c>
      <c r="D37" s="9" t="s">
        <v>58</v>
      </c>
      <c r="E37" s="9" t="n">
        <v>2</v>
      </c>
      <c r="F37" s="9" t="s">
        <v>250</v>
      </c>
      <c r="G37" s="9" t="n">
        <v>5</v>
      </c>
      <c r="H37" s="8" t="s">
        <v>251</v>
      </c>
      <c r="I37" s="9" t="s">
        <v>212</v>
      </c>
    </row>
    <row r="38" customFormat="false" ht="15" hidden="false" customHeight="false" outlineLevel="0" collapsed="false">
      <c r="A38" s="4" t="s">
        <v>222</v>
      </c>
      <c r="B38" s="5" t="s">
        <v>42</v>
      </c>
      <c r="C38" s="15" t="s">
        <v>46</v>
      </c>
      <c r="D38" s="4" t="s">
        <v>58</v>
      </c>
      <c r="E38" s="4" t="n">
        <v>11</v>
      </c>
      <c r="F38" s="4" t="s">
        <v>250</v>
      </c>
      <c r="G38" s="4" t="n">
        <v>20</v>
      </c>
      <c r="H38" s="8" t="s">
        <v>251</v>
      </c>
      <c r="I38" s="4" t="s">
        <v>212</v>
      </c>
    </row>
    <row r="39" customFormat="false" ht="15" hidden="false" customHeight="false" outlineLevel="0" collapsed="false">
      <c r="A39" s="9" t="s">
        <v>223</v>
      </c>
      <c r="B39" s="10" t="s">
        <v>28</v>
      </c>
      <c r="C39" s="11" t="s">
        <v>21</v>
      </c>
      <c r="D39" s="9" t="s">
        <v>77</v>
      </c>
      <c r="E39" s="9" t="n">
        <v>3</v>
      </c>
      <c r="F39" s="9" t="s">
        <v>250</v>
      </c>
      <c r="G39" s="9" t="n">
        <v>10</v>
      </c>
      <c r="H39" s="8" t="s">
        <v>251</v>
      </c>
      <c r="I39" s="9" t="s">
        <v>212</v>
      </c>
    </row>
    <row r="40" customFormat="false" ht="15" hidden="false" customHeight="false" outlineLevel="0" collapsed="false">
      <c r="A40" s="4" t="s">
        <v>224</v>
      </c>
      <c r="B40" s="5" t="s">
        <v>45</v>
      </c>
      <c r="C40" s="6" t="s">
        <v>14</v>
      </c>
      <c r="D40" s="4" t="s">
        <v>58</v>
      </c>
      <c r="E40" s="4" t="n">
        <v>4</v>
      </c>
      <c r="F40" s="4" t="s">
        <v>250</v>
      </c>
      <c r="G40" s="4" t="n">
        <v>5</v>
      </c>
      <c r="H40" s="8" t="s">
        <v>251</v>
      </c>
      <c r="I40" s="4" t="s">
        <v>212</v>
      </c>
    </row>
    <row r="41" customFormat="false" ht="15" hidden="false" customHeight="false" outlineLevel="0" collapsed="false">
      <c r="A41" s="9" t="s">
        <v>226</v>
      </c>
      <c r="B41" s="10" t="s">
        <v>24</v>
      </c>
      <c r="C41" s="11" t="s">
        <v>21</v>
      </c>
      <c r="D41" s="9" t="s">
        <v>77</v>
      </c>
      <c r="E41" s="9" t="n">
        <v>3</v>
      </c>
      <c r="F41" s="9" t="s">
        <v>250</v>
      </c>
      <c r="G41" s="9" t="n">
        <v>10</v>
      </c>
      <c r="H41" s="8" t="s">
        <v>251</v>
      </c>
      <c r="I41" s="9" t="s">
        <v>212</v>
      </c>
    </row>
    <row r="42" customFormat="false" ht="15" hidden="false" customHeight="false" outlineLevel="0" collapsed="false">
      <c r="A42" s="4" t="s">
        <v>227</v>
      </c>
      <c r="B42" s="5" t="s">
        <v>45</v>
      </c>
      <c r="C42" s="11" t="s">
        <v>21</v>
      </c>
      <c r="D42" s="4" t="s">
        <v>33</v>
      </c>
      <c r="E42" s="4" t="n">
        <v>2</v>
      </c>
      <c r="F42" s="4" t="s">
        <v>250</v>
      </c>
      <c r="G42" s="4" t="n">
        <v>10</v>
      </c>
      <c r="H42" s="8" t="s">
        <v>251</v>
      </c>
      <c r="I42" s="4" t="s">
        <v>212</v>
      </c>
    </row>
  </sheetData>
  <autoFilter ref="A1:I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8"/>
    <col collapsed="false" customWidth="true" hidden="false" outlineLevel="0" max="4" min="4" style="0" width="16"/>
    <col collapsed="false" customWidth="true" hidden="false" outlineLevel="0" max="7" min="5" style="0" width="10"/>
    <col collapsed="false" customWidth="true" hidden="false" outlineLevel="0" max="8" min="8" style="0" width="15"/>
    <col collapsed="false" customWidth="true" hidden="false" outlineLevel="0" max="11" min="9" style="0" width="12"/>
  </cols>
  <sheetData>
    <row r="1" customFormat="false" ht="36" hidden="false" customHeight="true" outlineLevel="0" collapsed="false">
      <c r="A1" s="18" t="s">
        <v>1</v>
      </c>
      <c r="B1" s="1" t="s">
        <v>2</v>
      </c>
      <c r="C1" s="2" t="s">
        <v>252</v>
      </c>
      <c r="D1" s="3" t="s">
        <v>239</v>
      </c>
      <c r="E1" s="21" t="s">
        <v>253</v>
      </c>
      <c r="F1" s="3" t="s">
        <v>254</v>
      </c>
      <c r="G1" s="19" t="s">
        <v>255</v>
      </c>
      <c r="H1" s="1" t="s">
        <v>256</v>
      </c>
      <c r="I1" s="21" t="s">
        <v>240</v>
      </c>
      <c r="J1" s="3" t="s">
        <v>257</v>
      </c>
      <c r="K1" s="19" t="s">
        <v>258</v>
      </c>
    </row>
    <row r="2" customFormat="false" ht="19.5" hidden="false" customHeight="true" outlineLevel="0" collapsed="false">
      <c r="A2" s="4" t="s">
        <v>12</v>
      </c>
      <c r="B2" s="5" t="s">
        <v>20</v>
      </c>
      <c r="C2" s="4" t="n">
        <v>20</v>
      </c>
      <c r="D2" s="4" t="n">
        <v>19</v>
      </c>
      <c r="E2" s="4" t="n">
        <v>13</v>
      </c>
      <c r="F2" s="4" t="n">
        <v>3</v>
      </c>
      <c r="G2" s="4" t="n">
        <v>3</v>
      </c>
      <c r="H2" s="29" t="n">
        <f aca="false">D2/C2</f>
        <v>0.95</v>
      </c>
      <c r="I2" s="23" t="n">
        <f aca="false">E2/D2</f>
        <v>0.68421052631579</v>
      </c>
      <c r="J2" s="30" t="n">
        <f aca="false">F2/D2</f>
        <v>0.157894736842105</v>
      </c>
      <c r="K2" s="31" t="n">
        <f aca="false">G2/D2</f>
        <v>0.157894736842105</v>
      </c>
    </row>
    <row r="3" customFormat="false" ht="19.5" hidden="false" customHeight="true" outlineLevel="0" collapsed="false">
      <c r="A3" s="9" t="s">
        <v>12</v>
      </c>
      <c r="B3" s="10" t="s">
        <v>13</v>
      </c>
      <c r="C3" s="9" t="n">
        <v>21</v>
      </c>
      <c r="D3" s="9" t="n">
        <v>20</v>
      </c>
      <c r="E3" s="9" t="n">
        <v>19</v>
      </c>
      <c r="F3" s="9" t="n">
        <v>0</v>
      </c>
      <c r="G3" s="9" t="n">
        <v>1</v>
      </c>
      <c r="H3" s="32" t="n">
        <f aca="false">D3/C3</f>
        <v>0.952380952380952</v>
      </c>
      <c r="I3" s="23" t="n">
        <f aca="false">E3/D3</f>
        <v>0.95</v>
      </c>
      <c r="J3" s="30" t="n">
        <f aca="false">F3/D3</f>
        <v>0</v>
      </c>
      <c r="K3" s="31" t="n">
        <f aca="false">G3/D3</f>
        <v>0.05</v>
      </c>
    </row>
    <row r="4" customFormat="false" ht="19.5" hidden="false" customHeight="true" outlineLevel="0" collapsed="false">
      <c r="A4" s="4" t="s">
        <v>12</v>
      </c>
      <c r="B4" s="5" t="s">
        <v>42</v>
      </c>
      <c r="C4" s="4" t="n">
        <v>19</v>
      </c>
      <c r="D4" s="4" t="n">
        <v>17</v>
      </c>
      <c r="E4" s="4" t="n">
        <v>13</v>
      </c>
      <c r="F4" s="4" t="n">
        <v>2</v>
      </c>
      <c r="G4" s="4" t="n">
        <v>2</v>
      </c>
      <c r="H4" s="29" t="n">
        <f aca="false">D4/C4</f>
        <v>0.894736842105263</v>
      </c>
      <c r="I4" s="23" t="n">
        <f aca="false">E4/D4</f>
        <v>0.764705882352941</v>
      </c>
      <c r="J4" s="30" t="n">
        <f aca="false">F4/D4</f>
        <v>0.117647058823529</v>
      </c>
      <c r="K4" s="31" t="n">
        <f aca="false">G4/D4</f>
        <v>0.117647058823529</v>
      </c>
    </row>
    <row r="5" customFormat="false" ht="19.5" hidden="false" customHeight="true" outlineLevel="0" collapsed="false">
      <c r="A5" s="9" t="s">
        <v>12</v>
      </c>
      <c r="B5" s="10" t="s">
        <v>28</v>
      </c>
      <c r="C5" s="9" t="n">
        <v>13</v>
      </c>
      <c r="D5" s="9" t="n">
        <v>13</v>
      </c>
      <c r="E5" s="9" t="n">
        <v>10</v>
      </c>
      <c r="F5" s="9" t="n">
        <v>1</v>
      </c>
      <c r="G5" s="9" t="n">
        <v>2</v>
      </c>
      <c r="H5" s="32" t="n">
        <f aca="false">D5/C5</f>
        <v>1</v>
      </c>
      <c r="I5" s="23" t="n">
        <f aca="false">E5/D5</f>
        <v>0.769230769230769</v>
      </c>
      <c r="J5" s="30" t="n">
        <f aca="false">F5/D5</f>
        <v>0.0769230769230769</v>
      </c>
      <c r="K5" s="31" t="n">
        <f aca="false">G5/D5</f>
        <v>0.153846153846154</v>
      </c>
    </row>
    <row r="6" customFormat="false" ht="19.5" hidden="false" customHeight="true" outlineLevel="0" collapsed="false">
      <c r="A6" s="4" t="s">
        <v>12</v>
      </c>
      <c r="B6" s="5" t="s">
        <v>24</v>
      </c>
      <c r="C6" s="4" t="n">
        <v>25</v>
      </c>
      <c r="D6" s="4" t="n">
        <v>20</v>
      </c>
      <c r="E6" s="4" t="n">
        <v>14</v>
      </c>
      <c r="F6" s="4" t="n">
        <v>2</v>
      </c>
      <c r="G6" s="4" t="n">
        <v>4</v>
      </c>
      <c r="H6" s="29" t="n">
        <f aca="false">D6/C6</f>
        <v>0.8</v>
      </c>
      <c r="I6" s="23" t="n">
        <f aca="false">E6/D6</f>
        <v>0.7</v>
      </c>
      <c r="J6" s="30" t="n">
        <f aca="false">F6/D6</f>
        <v>0.1</v>
      </c>
      <c r="K6" s="31" t="n">
        <f aca="false">G6/D6</f>
        <v>0.2</v>
      </c>
    </row>
    <row r="7" customFormat="false" ht="19.5" hidden="false" customHeight="true" outlineLevel="0" collapsed="false">
      <c r="A7" s="9" t="s">
        <v>12</v>
      </c>
      <c r="B7" s="10" t="s">
        <v>39</v>
      </c>
      <c r="C7" s="9" t="n">
        <v>27</v>
      </c>
      <c r="D7" s="9" t="n">
        <v>23</v>
      </c>
      <c r="E7" s="9" t="n">
        <v>16</v>
      </c>
      <c r="F7" s="9" t="n">
        <v>4</v>
      </c>
      <c r="G7" s="9" t="n">
        <v>3</v>
      </c>
      <c r="H7" s="32" t="n">
        <f aca="false">D7/C7</f>
        <v>0.851851851851852</v>
      </c>
      <c r="I7" s="23" t="n">
        <f aca="false">E7/D7</f>
        <v>0.695652173913044</v>
      </c>
      <c r="J7" s="30" t="n">
        <f aca="false">F7/D7</f>
        <v>0.173913043478261</v>
      </c>
      <c r="K7" s="31" t="n">
        <f aca="false">G7/D7</f>
        <v>0.130434782608696</v>
      </c>
    </row>
    <row r="8" customFormat="false" ht="19.5" hidden="false" customHeight="true" outlineLevel="0" collapsed="false">
      <c r="A8" s="4" t="s">
        <v>12</v>
      </c>
      <c r="B8" s="5" t="s">
        <v>45</v>
      </c>
      <c r="C8" s="4" t="n">
        <v>28</v>
      </c>
      <c r="D8" s="4" t="n">
        <v>22</v>
      </c>
      <c r="E8" s="4" t="n">
        <v>21</v>
      </c>
      <c r="F8" s="4" t="n">
        <v>1</v>
      </c>
      <c r="G8" s="4" t="n">
        <v>0</v>
      </c>
      <c r="H8" s="29" t="n">
        <f aca="false">D8/C8</f>
        <v>0.785714285714286</v>
      </c>
      <c r="I8" s="23" t="n">
        <f aca="false">E8/D8</f>
        <v>0.954545454545455</v>
      </c>
      <c r="J8" s="30" t="n">
        <f aca="false">F8/D8</f>
        <v>0.0454545454545455</v>
      </c>
      <c r="K8" s="31" t="n">
        <f aca="false">G8/D8</f>
        <v>0</v>
      </c>
    </row>
    <row r="9" customFormat="false" ht="19.5" hidden="false" customHeight="true" outlineLevel="0" collapsed="false">
      <c r="A9" s="9" t="s">
        <v>12</v>
      </c>
      <c r="B9" s="10" t="s">
        <v>62</v>
      </c>
      <c r="C9" s="9" t="n">
        <v>27</v>
      </c>
      <c r="D9" s="9" t="n">
        <v>27</v>
      </c>
      <c r="E9" s="9" t="n">
        <v>26</v>
      </c>
      <c r="F9" s="9" t="n">
        <v>0</v>
      </c>
      <c r="G9" s="9" t="n">
        <v>1</v>
      </c>
      <c r="H9" s="32" t="n">
        <f aca="false">D9/C9</f>
        <v>1</v>
      </c>
      <c r="I9" s="23" t="n">
        <f aca="false">E9/D9</f>
        <v>0.962962962962963</v>
      </c>
      <c r="J9" s="30" t="n">
        <f aca="false">F9/D9</f>
        <v>0</v>
      </c>
      <c r="K9" s="31" t="n">
        <f aca="false">G9/D9</f>
        <v>0.037037037037037</v>
      </c>
    </row>
    <row r="10" customFormat="false" ht="19.5" hidden="false" customHeight="true" outlineLevel="0" collapsed="false">
      <c r="A10" s="4" t="s">
        <v>68</v>
      </c>
      <c r="B10" s="5" t="s">
        <v>20</v>
      </c>
      <c r="C10" s="4" t="n">
        <v>29</v>
      </c>
      <c r="D10" s="4" t="n">
        <v>24</v>
      </c>
      <c r="E10" s="4" t="n">
        <v>16</v>
      </c>
      <c r="F10" s="4" t="n">
        <v>2</v>
      </c>
      <c r="G10" s="4" t="n">
        <v>6</v>
      </c>
      <c r="H10" s="29" t="n">
        <f aca="false">D10/C10</f>
        <v>0.827586206896552</v>
      </c>
      <c r="I10" s="23" t="n">
        <f aca="false">E10/D10</f>
        <v>0.666666666666667</v>
      </c>
      <c r="J10" s="30" t="n">
        <f aca="false">F10/D10</f>
        <v>0.0833333333333333</v>
      </c>
      <c r="K10" s="31" t="n">
        <f aca="false">G10/D10</f>
        <v>0.25</v>
      </c>
    </row>
    <row r="11" customFormat="false" ht="19.5" hidden="false" customHeight="true" outlineLevel="0" collapsed="false">
      <c r="A11" s="9" t="s">
        <v>68</v>
      </c>
      <c r="B11" s="10" t="s">
        <v>13</v>
      </c>
      <c r="C11" s="9" t="n">
        <v>18</v>
      </c>
      <c r="D11" s="9" t="n">
        <v>17</v>
      </c>
      <c r="E11" s="9" t="n">
        <v>13</v>
      </c>
      <c r="F11" s="9" t="n">
        <v>2</v>
      </c>
      <c r="G11" s="9" t="n">
        <v>2</v>
      </c>
      <c r="H11" s="32" t="n">
        <f aca="false">D11/C11</f>
        <v>0.944444444444444</v>
      </c>
      <c r="I11" s="23" t="n">
        <f aca="false">E11/D11</f>
        <v>0.764705882352941</v>
      </c>
      <c r="J11" s="30" t="n">
        <f aca="false">F11/D11</f>
        <v>0.117647058823529</v>
      </c>
      <c r="K11" s="31" t="n">
        <f aca="false">G11/D11</f>
        <v>0.117647058823529</v>
      </c>
    </row>
    <row r="12" customFormat="false" ht="19.5" hidden="false" customHeight="true" outlineLevel="0" collapsed="false">
      <c r="A12" s="4" t="s">
        <v>68</v>
      </c>
      <c r="B12" s="5" t="s">
        <v>42</v>
      </c>
      <c r="C12" s="4" t="n">
        <v>21</v>
      </c>
      <c r="D12" s="4" t="n">
        <v>14</v>
      </c>
      <c r="E12" s="4" t="n">
        <v>10</v>
      </c>
      <c r="F12" s="4" t="n">
        <v>1</v>
      </c>
      <c r="G12" s="4" t="n">
        <v>3</v>
      </c>
      <c r="H12" s="29" t="n">
        <f aca="false">D12/C12</f>
        <v>0.666666666666667</v>
      </c>
      <c r="I12" s="23" t="n">
        <f aca="false">E12/D12</f>
        <v>0.714285714285714</v>
      </c>
      <c r="J12" s="30" t="n">
        <f aca="false">F12/D12</f>
        <v>0.0714285714285714</v>
      </c>
      <c r="K12" s="31" t="n">
        <f aca="false">G12/D12</f>
        <v>0.214285714285714</v>
      </c>
    </row>
    <row r="13" customFormat="false" ht="19.5" hidden="false" customHeight="true" outlineLevel="0" collapsed="false">
      <c r="A13" s="9" t="s">
        <v>68</v>
      </c>
      <c r="B13" s="10" t="s">
        <v>28</v>
      </c>
      <c r="C13" s="9" t="n">
        <v>28</v>
      </c>
      <c r="D13" s="9" t="n">
        <v>25</v>
      </c>
      <c r="E13" s="9" t="n">
        <v>18</v>
      </c>
      <c r="F13" s="9" t="n">
        <v>2</v>
      </c>
      <c r="G13" s="9" t="n">
        <v>5</v>
      </c>
      <c r="H13" s="32" t="n">
        <f aca="false">D13/C13</f>
        <v>0.892857142857143</v>
      </c>
      <c r="I13" s="23" t="n">
        <f aca="false">E13/D13</f>
        <v>0.72</v>
      </c>
      <c r="J13" s="30" t="n">
        <f aca="false">F13/D13</f>
        <v>0.08</v>
      </c>
      <c r="K13" s="31" t="n">
        <f aca="false">G13/D13</f>
        <v>0.2</v>
      </c>
    </row>
    <row r="14" customFormat="false" ht="19.5" hidden="false" customHeight="true" outlineLevel="0" collapsed="false">
      <c r="A14" s="4" t="s">
        <v>68</v>
      </c>
      <c r="B14" s="5" t="s">
        <v>24</v>
      </c>
      <c r="C14" s="4" t="n">
        <v>30</v>
      </c>
      <c r="D14" s="4" t="n">
        <v>21</v>
      </c>
      <c r="E14" s="4" t="n">
        <v>14</v>
      </c>
      <c r="F14" s="4" t="n">
        <v>3</v>
      </c>
      <c r="G14" s="4" t="n">
        <v>4</v>
      </c>
      <c r="H14" s="29" t="n">
        <f aca="false">D14/C14</f>
        <v>0.7</v>
      </c>
      <c r="I14" s="23" t="n">
        <f aca="false">E14/D14</f>
        <v>0.666666666666667</v>
      </c>
      <c r="J14" s="30" t="n">
        <f aca="false">F14/D14</f>
        <v>0.142857142857143</v>
      </c>
      <c r="K14" s="31" t="n">
        <f aca="false">G14/D14</f>
        <v>0.19047619047619</v>
      </c>
    </row>
    <row r="15" customFormat="false" ht="19.5" hidden="false" customHeight="true" outlineLevel="0" collapsed="false">
      <c r="A15" s="9" t="s">
        <v>68</v>
      </c>
      <c r="B15" s="10" t="s">
        <v>39</v>
      </c>
      <c r="C15" s="9" t="n">
        <v>22</v>
      </c>
      <c r="D15" s="9" t="n">
        <v>21</v>
      </c>
      <c r="E15" s="9" t="n">
        <v>17</v>
      </c>
      <c r="F15" s="9" t="n">
        <v>2</v>
      </c>
      <c r="G15" s="9" t="n">
        <v>2</v>
      </c>
      <c r="H15" s="32" t="n">
        <f aca="false">D15/C15</f>
        <v>0.954545454545455</v>
      </c>
      <c r="I15" s="23" t="n">
        <f aca="false">E15/D15</f>
        <v>0.80952380952381</v>
      </c>
      <c r="J15" s="30" t="n">
        <f aca="false">F15/D15</f>
        <v>0.0952380952380952</v>
      </c>
      <c r="K15" s="31" t="n">
        <f aca="false">G15/D15</f>
        <v>0.0952380952380952</v>
      </c>
    </row>
    <row r="16" customFormat="false" ht="19.5" hidden="false" customHeight="true" outlineLevel="0" collapsed="false">
      <c r="A16" s="4" t="s">
        <v>68</v>
      </c>
      <c r="B16" s="5" t="s">
        <v>45</v>
      </c>
      <c r="C16" s="4" t="n">
        <v>15</v>
      </c>
      <c r="D16" s="4" t="n">
        <v>12</v>
      </c>
      <c r="E16" s="4" t="n">
        <v>10</v>
      </c>
      <c r="F16" s="4" t="n">
        <v>2</v>
      </c>
      <c r="G16" s="4" t="n">
        <v>0</v>
      </c>
      <c r="H16" s="29" t="n">
        <f aca="false">D16/C16</f>
        <v>0.8</v>
      </c>
      <c r="I16" s="23" t="n">
        <f aca="false">E16/D16</f>
        <v>0.833333333333333</v>
      </c>
      <c r="J16" s="30" t="n">
        <f aca="false">F16/D16</f>
        <v>0.166666666666667</v>
      </c>
      <c r="K16" s="31" t="n">
        <f aca="false">G16/D16</f>
        <v>0</v>
      </c>
    </row>
    <row r="17" customFormat="false" ht="19.5" hidden="false" customHeight="true" outlineLevel="0" collapsed="false">
      <c r="A17" s="9" t="s">
        <v>68</v>
      </c>
      <c r="B17" s="10" t="s">
        <v>62</v>
      </c>
      <c r="C17" s="9" t="n">
        <v>20</v>
      </c>
      <c r="D17" s="9" t="n">
        <v>20</v>
      </c>
      <c r="E17" s="9" t="n">
        <v>18</v>
      </c>
      <c r="F17" s="9" t="n">
        <v>2</v>
      </c>
      <c r="G17" s="9" t="n">
        <v>0</v>
      </c>
      <c r="H17" s="32" t="n">
        <f aca="false">D17/C17</f>
        <v>1</v>
      </c>
      <c r="I17" s="23" t="n">
        <f aca="false">E17/D17</f>
        <v>0.9</v>
      </c>
      <c r="J17" s="30" t="n">
        <f aca="false">F17/D17</f>
        <v>0.1</v>
      </c>
      <c r="K17" s="31" t="n">
        <f aca="false">G17/D17</f>
        <v>0</v>
      </c>
    </row>
    <row r="18" customFormat="false" ht="19.5" hidden="false" customHeight="true" outlineLevel="0" collapsed="false">
      <c r="A18" s="4" t="s">
        <v>89</v>
      </c>
      <c r="B18" s="5" t="s">
        <v>20</v>
      </c>
      <c r="C18" s="4" t="n">
        <v>12</v>
      </c>
      <c r="D18" s="4" t="n">
        <v>8</v>
      </c>
      <c r="E18" s="4" t="n">
        <v>5</v>
      </c>
      <c r="F18" s="4" t="n">
        <v>1</v>
      </c>
      <c r="G18" s="4" t="n">
        <v>2</v>
      </c>
      <c r="H18" s="29" t="n">
        <f aca="false">D18/C18</f>
        <v>0.666666666666667</v>
      </c>
      <c r="I18" s="23" t="n">
        <f aca="false">E18/D18</f>
        <v>0.625</v>
      </c>
      <c r="J18" s="30" t="n">
        <f aca="false">F18/D18</f>
        <v>0.125</v>
      </c>
      <c r="K18" s="31" t="n">
        <f aca="false">G18/D18</f>
        <v>0.25</v>
      </c>
    </row>
    <row r="19" customFormat="false" ht="19.5" hidden="false" customHeight="true" outlineLevel="0" collapsed="false">
      <c r="A19" s="9" t="s">
        <v>89</v>
      </c>
      <c r="B19" s="10" t="s">
        <v>13</v>
      </c>
      <c r="C19" s="9" t="n">
        <v>29</v>
      </c>
      <c r="D19" s="9" t="n">
        <v>20</v>
      </c>
      <c r="E19" s="9" t="n">
        <v>19</v>
      </c>
      <c r="F19" s="9" t="n">
        <v>0</v>
      </c>
      <c r="G19" s="9" t="n">
        <v>1</v>
      </c>
      <c r="H19" s="32" t="n">
        <f aca="false">D19/C19</f>
        <v>0.689655172413793</v>
      </c>
      <c r="I19" s="23" t="n">
        <f aca="false">E19/D19</f>
        <v>0.95</v>
      </c>
      <c r="J19" s="30" t="n">
        <f aca="false">F19/D19</f>
        <v>0</v>
      </c>
      <c r="K19" s="31" t="n">
        <f aca="false">G19/D19</f>
        <v>0.05</v>
      </c>
    </row>
    <row r="20" customFormat="false" ht="19.5" hidden="false" customHeight="true" outlineLevel="0" collapsed="false">
      <c r="A20" s="4" t="s">
        <v>89</v>
      </c>
      <c r="B20" s="5" t="s">
        <v>42</v>
      </c>
      <c r="C20" s="4" t="n">
        <v>18</v>
      </c>
      <c r="D20" s="4" t="n">
        <v>15</v>
      </c>
      <c r="E20" s="4" t="n">
        <v>13</v>
      </c>
      <c r="F20" s="4" t="n">
        <v>1</v>
      </c>
      <c r="G20" s="4" t="n">
        <v>1</v>
      </c>
      <c r="H20" s="29" t="n">
        <f aca="false">D20/C20</f>
        <v>0.833333333333333</v>
      </c>
      <c r="I20" s="23" t="n">
        <f aca="false">E20/D20</f>
        <v>0.866666666666667</v>
      </c>
      <c r="J20" s="30" t="n">
        <f aca="false">F20/D20</f>
        <v>0.0666666666666667</v>
      </c>
      <c r="K20" s="31" t="n">
        <f aca="false">G20/D20</f>
        <v>0.0666666666666667</v>
      </c>
    </row>
    <row r="21" customFormat="false" ht="19.5" hidden="false" customHeight="true" outlineLevel="0" collapsed="false">
      <c r="A21" s="9" t="s">
        <v>89</v>
      </c>
      <c r="B21" s="10" t="s">
        <v>28</v>
      </c>
      <c r="C21" s="9" t="n">
        <v>29</v>
      </c>
      <c r="D21" s="9" t="n">
        <v>27</v>
      </c>
      <c r="E21" s="9" t="n">
        <v>24</v>
      </c>
      <c r="F21" s="9" t="n">
        <v>2</v>
      </c>
      <c r="G21" s="9" t="n">
        <v>1</v>
      </c>
      <c r="H21" s="32" t="n">
        <f aca="false">D21/C21</f>
        <v>0.931034482758621</v>
      </c>
      <c r="I21" s="23" t="n">
        <f aca="false">E21/D21</f>
        <v>0.888888888888889</v>
      </c>
      <c r="J21" s="30" t="n">
        <f aca="false">F21/D21</f>
        <v>0.0740740740740741</v>
      </c>
      <c r="K21" s="31" t="n">
        <f aca="false">G21/D21</f>
        <v>0.037037037037037</v>
      </c>
    </row>
    <row r="22" customFormat="false" ht="19.5" hidden="false" customHeight="true" outlineLevel="0" collapsed="false">
      <c r="A22" s="4" t="s">
        <v>89</v>
      </c>
      <c r="B22" s="5" t="s">
        <v>24</v>
      </c>
      <c r="C22" s="4" t="n">
        <v>16</v>
      </c>
      <c r="D22" s="4" t="n">
        <v>15</v>
      </c>
      <c r="E22" s="4" t="n">
        <v>10</v>
      </c>
      <c r="F22" s="4" t="n">
        <v>2</v>
      </c>
      <c r="G22" s="4" t="n">
        <v>3</v>
      </c>
      <c r="H22" s="29" t="n">
        <f aca="false">D22/C22</f>
        <v>0.9375</v>
      </c>
      <c r="I22" s="23" t="n">
        <f aca="false">E22/D22</f>
        <v>0.666666666666667</v>
      </c>
      <c r="J22" s="30" t="n">
        <f aca="false">F22/D22</f>
        <v>0.133333333333333</v>
      </c>
      <c r="K22" s="31" t="n">
        <f aca="false">G22/D22</f>
        <v>0.2</v>
      </c>
    </row>
    <row r="23" customFormat="false" ht="19.5" hidden="false" customHeight="true" outlineLevel="0" collapsed="false">
      <c r="A23" s="9" t="s">
        <v>89</v>
      </c>
      <c r="B23" s="10" t="s">
        <v>39</v>
      </c>
      <c r="C23" s="9" t="n">
        <v>23</v>
      </c>
      <c r="D23" s="9" t="n">
        <v>17</v>
      </c>
      <c r="E23" s="9" t="n">
        <v>13</v>
      </c>
      <c r="F23" s="9" t="n">
        <v>4</v>
      </c>
      <c r="G23" s="9" t="n">
        <v>0</v>
      </c>
      <c r="H23" s="32" t="n">
        <f aca="false">D23/C23</f>
        <v>0.739130434782609</v>
      </c>
      <c r="I23" s="23" t="n">
        <f aca="false">E23/D23</f>
        <v>0.764705882352941</v>
      </c>
      <c r="J23" s="30" t="n">
        <f aca="false">F23/D23</f>
        <v>0.235294117647059</v>
      </c>
      <c r="K23" s="31" t="n">
        <f aca="false">G23/D23</f>
        <v>0</v>
      </c>
    </row>
    <row r="24" customFormat="false" ht="19.5" hidden="false" customHeight="true" outlineLevel="0" collapsed="false">
      <c r="A24" s="4" t="s">
        <v>89</v>
      </c>
      <c r="B24" s="5" t="s">
        <v>45</v>
      </c>
      <c r="C24" s="4" t="n">
        <v>25</v>
      </c>
      <c r="D24" s="4" t="n">
        <v>25</v>
      </c>
      <c r="E24" s="4" t="n">
        <v>21</v>
      </c>
      <c r="F24" s="4" t="n">
        <v>0</v>
      </c>
      <c r="G24" s="4" t="n">
        <v>4</v>
      </c>
      <c r="H24" s="29" t="n">
        <f aca="false">D24/C24</f>
        <v>1</v>
      </c>
      <c r="I24" s="23" t="n">
        <f aca="false">E24/D24</f>
        <v>0.84</v>
      </c>
      <c r="J24" s="30" t="n">
        <f aca="false">F24/D24</f>
        <v>0</v>
      </c>
      <c r="K24" s="31" t="n">
        <f aca="false">G24/D24</f>
        <v>0.16</v>
      </c>
    </row>
    <row r="25" customFormat="false" ht="19.5" hidden="false" customHeight="true" outlineLevel="0" collapsed="false">
      <c r="A25" s="9" t="s">
        <v>89</v>
      </c>
      <c r="B25" s="10" t="s">
        <v>62</v>
      </c>
      <c r="C25" s="9" t="n">
        <v>17</v>
      </c>
      <c r="D25" s="9" t="n">
        <v>14</v>
      </c>
      <c r="E25" s="9" t="n">
        <v>13</v>
      </c>
      <c r="F25" s="9" t="n">
        <v>0</v>
      </c>
      <c r="G25" s="9" t="n">
        <v>1</v>
      </c>
      <c r="H25" s="32" t="n">
        <f aca="false">D25/C25</f>
        <v>0.823529411764706</v>
      </c>
      <c r="I25" s="23" t="n">
        <f aca="false">E25/D25</f>
        <v>0.928571428571429</v>
      </c>
      <c r="J25" s="30" t="n">
        <f aca="false">F25/D25</f>
        <v>0</v>
      </c>
      <c r="K25" s="31" t="n">
        <f aca="false">G25/D25</f>
        <v>0.0714285714285714</v>
      </c>
    </row>
    <row r="26" customFormat="false" ht="19.5" hidden="false" customHeight="true" outlineLevel="0" collapsed="false">
      <c r="A26" s="4" t="s">
        <v>112</v>
      </c>
      <c r="B26" s="5" t="s">
        <v>20</v>
      </c>
      <c r="C26" s="4" t="n">
        <v>10</v>
      </c>
      <c r="D26" s="4" t="n">
        <v>8</v>
      </c>
      <c r="E26" s="4" t="n">
        <v>6</v>
      </c>
      <c r="F26" s="4" t="n">
        <v>0</v>
      </c>
      <c r="G26" s="4" t="n">
        <v>2</v>
      </c>
      <c r="H26" s="29" t="n">
        <f aca="false">D26/C26</f>
        <v>0.8</v>
      </c>
      <c r="I26" s="23" t="n">
        <f aca="false">E26/D26</f>
        <v>0.75</v>
      </c>
      <c r="J26" s="30" t="n">
        <f aca="false">F26/D26</f>
        <v>0</v>
      </c>
      <c r="K26" s="31" t="n">
        <f aca="false">G26/D26</f>
        <v>0.25</v>
      </c>
    </row>
    <row r="27" customFormat="false" ht="19.5" hidden="false" customHeight="true" outlineLevel="0" collapsed="false">
      <c r="A27" s="9" t="s">
        <v>112</v>
      </c>
      <c r="B27" s="10" t="s">
        <v>13</v>
      </c>
      <c r="C27" s="9" t="n">
        <v>14</v>
      </c>
      <c r="D27" s="9" t="n">
        <v>11</v>
      </c>
      <c r="E27" s="9" t="n">
        <v>9</v>
      </c>
      <c r="F27" s="9" t="n">
        <v>1</v>
      </c>
      <c r="G27" s="9" t="n">
        <v>1</v>
      </c>
      <c r="H27" s="32" t="n">
        <f aca="false">D27/C27</f>
        <v>0.785714285714286</v>
      </c>
      <c r="I27" s="23" t="n">
        <f aca="false">E27/D27</f>
        <v>0.818181818181818</v>
      </c>
      <c r="J27" s="30" t="n">
        <f aca="false">F27/D27</f>
        <v>0.0909090909090909</v>
      </c>
      <c r="K27" s="31" t="n">
        <f aca="false">G27/D27</f>
        <v>0.0909090909090909</v>
      </c>
    </row>
    <row r="28" customFormat="false" ht="19.5" hidden="false" customHeight="true" outlineLevel="0" collapsed="false">
      <c r="A28" s="4" t="s">
        <v>112</v>
      </c>
      <c r="B28" s="5" t="s">
        <v>42</v>
      </c>
      <c r="C28" s="4" t="n">
        <v>13</v>
      </c>
      <c r="D28" s="4" t="n">
        <v>9</v>
      </c>
      <c r="E28" s="4" t="n">
        <v>7</v>
      </c>
      <c r="F28" s="4" t="n">
        <v>2</v>
      </c>
      <c r="G28" s="4" t="n">
        <v>0</v>
      </c>
      <c r="H28" s="29" t="n">
        <f aca="false">D28/C28</f>
        <v>0.692307692307692</v>
      </c>
      <c r="I28" s="23" t="n">
        <f aca="false">E28/D28</f>
        <v>0.777777777777778</v>
      </c>
      <c r="J28" s="30" t="n">
        <f aca="false">F28/D28</f>
        <v>0.222222222222222</v>
      </c>
      <c r="K28" s="31" t="n">
        <f aca="false">G28/D28</f>
        <v>0</v>
      </c>
    </row>
    <row r="29" customFormat="false" ht="19.5" hidden="false" customHeight="true" outlineLevel="0" collapsed="false">
      <c r="A29" s="9" t="s">
        <v>112</v>
      </c>
      <c r="B29" s="10" t="s">
        <v>28</v>
      </c>
      <c r="C29" s="9" t="n">
        <v>23</v>
      </c>
      <c r="D29" s="9" t="n">
        <v>18</v>
      </c>
      <c r="E29" s="9" t="n">
        <v>13</v>
      </c>
      <c r="F29" s="9" t="n">
        <v>3</v>
      </c>
      <c r="G29" s="9" t="n">
        <v>2</v>
      </c>
      <c r="H29" s="32" t="n">
        <f aca="false">D29/C29</f>
        <v>0.782608695652174</v>
      </c>
      <c r="I29" s="23" t="n">
        <f aca="false">E29/D29</f>
        <v>0.722222222222222</v>
      </c>
      <c r="J29" s="30" t="n">
        <f aca="false">F29/D29</f>
        <v>0.166666666666667</v>
      </c>
      <c r="K29" s="31" t="n">
        <f aca="false">G29/D29</f>
        <v>0.111111111111111</v>
      </c>
    </row>
    <row r="30" customFormat="false" ht="19.5" hidden="false" customHeight="true" outlineLevel="0" collapsed="false">
      <c r="A30" s="4" t="s">
        <v>112</v>
      </c>
      <c r="B30" s="5" t="s">
        <v>24</v>
      </c>
      <c r="C30" s="4" t="n">
        <v>27</v>
      </c>
      <c r="D30" s="4" t="n">
        <v>21</v>
      </c>
      <c r="E30" s="4" t="n">
        <v>18</v>
      </c>
      <c r="F30" s="4" t="n">
        <v>2</v>
      </c>
      <c r="G30" s="4" t="n">
        <v>1</v>
      </c>
      <c r="H30" s="29" t="n">
        <f aca="false">D30/C30</f>
        <v>0.777777777777778</v>
      </c>
      <c r="I30" s="23" t="n">
        <f aca="false">E30/D30</f>
        <v>0.857142857142857</v>
      </c>
      <c r="J30" s="30" t="n">
        <f aca="false">F30/D30</f>
        <v>0.0952380952380952</v>
      </c>
      <c r="K30" s="31" t="n">
        <f aca="false">G30/D30</f>
        <v>0.0476190476190476</v>
      </c>
    </row>
    <row r="31" customFormat="false" ht="19.5" hidden="false" customHeight="true" outlineLevel="0" collapsed="false">
      <c r="A31" s="9" t="s">
        <v>112</v>
      </c>
      <c r="B31" s="10" t="s">
        <v>39</v>
      </c>
      <c r="C31" s="9" t="n">
        <v>12</v>
      </c>
      <c r="D31" s="9" t="n">
        <v>11</v>
      </c>
      <c r="E31" s="9" t="n">
        <v>7</v>
      </c>
      <c r="F31" s="9" t="n">
        <v>3</v>
      </c>
      <c r="G31" s="9" t="n">
        <v>1</v>
      </c>
      <c r="H31" s="32" t="n">
        <f aca="false">D31/C31</f>
        <v>0.916666666666667</v>
      </c>
      <c r="I31" s="23" t="n">
        <f aca="false">E31/D31</f>
        <v>0.636363636363636</v>
      </c>
      <c r="J31" s="30" t="n">
        <f aca="false">F31/D31</f>
        <v>0.272727272727273</v>
      </c>
      <c r="K31" s="31" t="n">
        <f aca="false">G31/D31</f>
        <v>0.0909090909090909</v>
      </c>
    </row>
    <row r="32" customFormat="false" ht="19.5" hidden="false" customHeight="true" outlineLevel="0" collapsed="false">
      <c r="A32" s="4" t="s">
        <v>112</v>
      </c>
      <c r="B32" s="5" t="s">
        <v>45</v>
      </c>
      <c r="C32" s="4" t="n">
        <v>10</v>
      </c>
      <c r="D32" s="4" t="n">
        <v>10</v>
      </c>
      <c r="E32" s="4" t="n">
        <v>7</v>
      </c>
      <c r="F32" s="4" t="n">
        <v>2</v>
      </c>
      <c r="G32" s="4" t="n">
        <v>1</v>
      </c>
      <c r="H32" s="29" t="n">
        <f aca="false">D32/C32</f>
        <v>1</v>
      </c>
      <c r="I32" s="23" t="n">
        <f aca="false">E32/D32</f>
        <v>0.7</v>
      </c>
      <c r="J32" s="30" t="n">
        <f aca="false">F32/D32</f>
        <v>0.2</v>
      </c>
      <c r="K32" s="31" t="n">
        <f aca="false">G32/D32</f>
        <v>0.1</v>
      </c>
    </row>
    <row r="33" customFormat="false" ht="19.5" hidden="false" customHeight="true" outlineLevel="0" collapsed="false">
      <c r="A33" s="9" t="s">
        <v>112</v>
      </c>
      <c r="B33" s="10" t="s">
        <v>62</v>
      </c>
      <c r="C33" s="9" t="n">
        <v>28</v>
      </c>
      <c r="D33" s="9" t="n">
        <v>25</v>
      </c>
      <c r="E33" s="9" t="n">
        <v>23</v>
      </c>
      <c r="F33" s="9" t="n">
        <v>2</v>
      </c>
      <c r="G33" s="9" t="n">
        <v>0</v>
      </c>
      <c r="H33" s="32" t="n">
        <f aca="false">D33/C33</f>
        <v>0.892857142857143</v>
      </c>
      <c r="I33" s="23" t="n">
        <f aca="false">E33/D33</f>
        <v>0.92</v>
      </c>
      <c r="J33" s="30" t="n">
        <f aca="false">F33/D33</f>
        <v>0.08</v>
      </c>
      <c r="K33" s="31" t="n">
        <f aca="false">G33/D33</f>
        <v>0</v>
      </c>
    </row>
    <row r="34" customFormat="false" ht="19.5" hidden="false" customHeight="true" outlineLevel="0" collapsed="false">
      <c r="A34" s="4" t="s">
        <v>138</v>
      </c>
      <c r="B34" s="5" t="s">
        <v>20</v>
      </c>
      <c r="C34" s="4" t="n">
        <v>30</v>
      </c>
      <c r="D34" s="4" t="n">
        <v>27</v>
      </c>
      <c r="E34" s="4" t="n">
        <v>22</v>
      </c>
      <c r="F34" s="4" t="n">
        <v>0</v>
      </c>
      <c r="G34" s="4" t="n">
        <v>5</v>
      </c>
      <c r="H34" s="29" t="n">
        <f aca="false">D34/C34</f>
        <v>0.9</v>
      </c>
      <c r="I34" s="23" t="n">
        <f aca="false">E34/D34</f>
        <v>0.814814814814815</v>
      </c>
      <c r="J34" s="30" t="n">
        <f aca="false">F34/D34</f>
        <v>0</v>
      </c>
      <c r="K34" s="31" t="n">
        <f aca="false">G34/D34</f>
        <v>0.185185185185185</v>
      </c>
    </row>
    <row r="35" customFormat="false" ht="19.5" hidden="false" customHeight="true" outlineLevel="0" collapsed="false">
      <c r="A35" s="9" t="s">
        <v>138</v>
      </c>
      <c r="B35" s="10" t="s">
        <v>13</v>
      </c>
      <c r="C35" s="9" t="n">
        <v>22</v>
      </c>
      <c r="D35" s="9" t="n">
        <v>15</v>
      </c>
      <c r="E35" s="9" t="n">
        <v>12</v>
      </c>
      <c r="F35" s="9" t="n">
        <v>1</v>
      </c>
      <c r="G35" s="9" t="n">
        <v>2</v>
      </c>
      <c r="H35" s="32" t="n">
        <f aca="false">D35/C35</f>
        <v>0.681818181818182</v>
      </c>
      <c r="I35" s="23" t="n">
        <f aca="false">E35/D35</f>
        <v>0.8</v>
      </c>
      <c r="J35" s="30" t="n">
        <f aca="false">F35/D35</f>
        <v>0.0666666666666667</v>
      </c>
      <c r="K35" s="31" t="n">
        <f aca="false">G35/D35</f>
        <v>0.133333333333333</v>
      </c>
    </row>
    <row r="36" customFormat="false" ht="19.5" hidden="false" customHeight="true" outlineLevel="0" collapsed="false">
      <c r="A36" s="4" t="s">
        <v>138</v>
      </c>
      <c r="B36" s="5" t="s">
        <v>42</v>
      </c>
      <c r="C36" s="4" t="n">
        <v>29</v>
      </c>
      <c r="D36" s="4" t="n">
        <v>27</v>
      </c>
      <c r="E36" s="4" t="n">
        <v>23</v>
      </c>
      <c r="F36" s="4" t="n">
        <v>0</v>
      </c>
      <c r="G36" s="4" t="n">
        <v>4</v>
      </c>
      <c r="H36" s="29" t="n">
        <f aca="false">D36/C36</f>
        <v>0.931034482758621</v>
      </c>
      <c r="I36" s="23" t="n">
        <f aca="false">E36/D36</f>
        <v>0.851851851851852</v>
      </c>
      <c r="J36" s="30" t="n">
        <f aca="false">F36/D36</f>
        <v>0</v>
      </c>
      <c r="K36" s="31" t="n">
        <f aca="false">G36/D36</f>
        <v>0.148148148148148</v>
      </c>
    </row>
    <row r="37" customFormat="false" ht="19.5" hidden="false" customHeight="true" outlineLevel="0" collapsed="false">
      <c r="A37" s="9" t="s">
        <v>138</v>
      </c>
      <c r="B37" s="10" t="s">
        <v>28</v>
      </c>
      <c r="C37" s="9" t="n">
        <v>23</v>
      </c>
      <c r="D37" s="9" t="n">
        <v>17</v>
      </c>
      <c r="E37" s="9" t="n">
        <v>12</v>
      </c>
      <c r="F37" s="9" t="n">
        <v>3</v>
      </c>
      <c r="G37" s="9" t="n">
        <v>2</v>
      </c>
      <c r="H37" s="32" t="n">
        <f aca="false">D37/C37</f>
        <v>0.739130434782609</v>
      </c>
      <c r="I37" s="23" t="n">
        <f aca="false">E37/D37</f>
        <v>0.705882352941177</v>
      </c>
      <c r="J37" s="30" t="n">
        <f aca="false">F37/D37</f>
        <v>0.176470588235294</v>
      </c>
      <c r="K37" s="31" t="n">
        <f aca="false">G37/D37</f>
        <v>0.117647058823529</v>
      </c>
    </row>
    <row r="38" customFormat="false" ht="19.5" hidden="false" customHeight="true" outlineLevel="0" collapsed="false">
      <c r="A38" s="4" t="s">
        <v>138</v>
      </c>
      <c r="B38" s="5" t="s">
        <v>24</v>
      </c>
      <c r="C38" s="4" t="n">
        <v>28</v>
      </c>
      <c r="D38" s="4" t="n">
        <v>25</v>
      </c>
      <c r="E38" s="4" t="n">
        <v>18</v>
      </c>
      <c r="F38" s="4" t="n">
        <v>6</v>
      </c>
      <c r="G38" s="4" t="n">
        <v>1</v>
      </c>
      <c r="H38" s="29" t="n">
        <f aca="false">D38/C38</f>
        <v>0.892857142857143</v>
      </c>
      <c r="I38" s="23" t="n">
        <f aca="false">E38/D38</f>
        <v>0.72</v>
      </c>
      <c r="J38" s="30" t="n">
        <f aca="false">F38/D38</f>
        <v>0.24</v>
      </c>
      <c r="K38" s="31" t="n">
        <f aca="false">G38/D38</f>
        <v>0.04</v>
      </c>
    </row>
    <row r="39" customFormat="false" ht="19.5" hidden="false" customHeight="true" outlineLevel="0" collapsed="false">
      <c r="A39" s="9" t="s">
        <v>138</v>
      </c>
      <c r="B39" s="10" t="s">
        <v>39</v>
      </c>
      <c r="C39" s="9" t="n">
        <v>19</v>
      </c>
      <c r="D39" s="9" t="n">
        <v>18</v>
      </c>
      <c r="E39" s="9" t="n">
        <v>14</v>
      </c>
      <c r="F39" s="9" t="n">
        <v>1</v>
      </c>
      <c r="G39" s="9" t="n">
        <v>3</v>
      </c>
      <c r="H39" s="32" t="n">
        <f aca="false">D39/C39</f>
        <v>0.947368421052632</v>
      </c>
      <c r="I39" s="23" t="n">
        <f aca="false">E39/D39</f>
        <v>0.777777777777778</v>
      </c>
      <c r="J39" s="30" t="n">
        <f aca="false">F39/D39</f>
        <v>0.0555555555555556</v>
      </c>
      <c r="K39" s="31" t="n">
        <f aca="false">G39/D39</f>
        <v>0.166666666666667</v>
      </c>
    </row>
    <row r="40" customFormat="false" ht="19.5" hidden="false" customHeight="true" outlineLevel="0" collapsed="false">
      <c r="A40" s="4" t="s">
        <v>138</v>
      </c>
      <c r="B40" s="5" t="s">
        <v>45</v>
      </c>
      <c r="C40" s="4" t="n">
        <v>20</v>
      </c>
      <c r="D40" s="4" t="n">
        <v>20</v>
      </c>
      <c r="E40" s="4" t="n">
        <v>15</v>
      </c>
      <c r="F40" s="4" t="n">
        <v>0</v>
      </c>
      <c r="G40" s="4" t="n">
        <v>5</v>
      </c>
      <c r="H40" s="29" t="n">
        <f aca="false">D40/C40</f>
        <v>1</v>
      </c>
      <c r="I40" s="23" t="n">
        <f aca="false">E40/D40</f>
        <v>0.75</v>
      </c>
      <c r="J40" s="30" t="n">
        <f aca="false">F40/D40</f>
        <v>0</v>
      </c>
      <c r="K40" s="31" t="n">
        <f aca="false">G40/D40</f>
        <v>0.25</v>
      </c>
    </row>
    <row r="41" customFormat="false" ht="19.5" hidden="false" customHeight="true" outlineLevel="0" collapsed="false">
      <c r="A41" s="9" t="s">
        <v>138</v>
      </c>
      <c r="B41" s="10" t="s">
        <v>62</v>
      </c>
      <c r="C41" s="9" t="n">
        <v>26</v>
      </c>
      <c r="D41" s="9" t="n">
        <v>19</v>
      </c>
      <c r="E41" s="9" t="n">
        <v>17</v>
      </c>
      <c r="F41" s="9" t="n">
        <v>2</v>
      </c>
      <c r="G41" s="9" t="n">
        <v>0</v>
      </c>
      <c r="H41" s="32" t="n">
        <f aca="false">D41/C41</f>
        <v>0.730769230769231</v>
      </c>
      <c r="I41" s="23" t="n">
        <f aca="false">E41/D41</f>
        <v>0.894736842105263</v>
      </c>
      <c r="J41" s="30" t="n">
        <f aca="false">F41/D41</f>
        <v>0.105263157894737</v>
      </c>
      <c r="K41" s="31" t="n">
        <f aca="false">G41/D41</f>
        <v>0</v>
      </c>
    </row>
    <row r="42" customFormat="false" ht="19.5" hidden="false" customHeight="true" outlineLevel="0" collapsed="false">
      <c r="A42" s="4" t="s">
        <v>166</v>
      </c>
      <c r="B42" s="5" t="s">
        <v>20</v>
      </c>
      <c r="C42" s="4" t="n">
        <v>16</v>
      </c>
      <c r="D42" s="4" t="n">
        <v>13</v>
      </c>
      <c r="E42" s="4" t="n">
        <v>11</v>
      </c>
      <c r="F42" s="4" t="n">
        <v>2</v>
      </c>
      <c r="G42" s="4" t="n">
        <v>0</v>
      </c>
      <c r="H42" s="29" t="n">
        <f aca="false">D42/C42</f>
        <v>0.8125</v>
      </c>
      <c r="I42" s="23" t="n">
        <f aca="false">E42/D42</f>
        <v>0.846153846153846</v>
      </c>
      <c r="J42" s="30" t="n">
        <f aca="false">F42/D42</f>
        <v>0.153846153846154</v>
      </c>
      <c r="K42" s="31" t="n">
        <f aca="false">G42/D42</f>
        <v>0</v>
      </c>
    </row>
    <row r="43" customFormat="false" ht="19.5" hidden="false" customHeight="true" outlineLevel="0" collapsed="false">
      <c r="A43" s="9" t="s">
        <v>166</v>
      </c>
      <c r="B43" s="10" t="s">
        <v>13</v>
      </c>
      <c r="C43" s="9" t="n">
        <v>30</v>
      </c>
      <c r="D43" s="9" t="n">
        <v>23</v>
      </c>
      <c r="E43" s="9" t="n">
        <v>17</v>
      </c>
      <c r="F43" s="9" t="n">
        <v>0</v>
      </c>
      <c r="G43" s="9" t="n">
        <v>6</v>
      </c>
      <c r="H43" s="32" t="n">
        <f aca="false">D43/C43</f>
        <v>0.766666666666667</v>
      </c>
      <c r="I43" s="23" t="n">
        <f aca="false">E43/D43</f>
        <v>0.739130434782609</v>
      </c>
      <c r="J43" s="30" t="n">
        <f aca="false">F43/D43</f>
        <v>0</v>
      </c>
      <c r="K43" s="31" t="n">
        <f aca="false">G43/D43</f>
        <v>0.260869565217391</v>
      </c>
    </row>
    <row r="44" customFormat="false" ht="19.5" hidden="false" customHeight="true" outlineLevel="0" collapsed="false">
      <c r="A44" s="4" t="s">
        <v>166</v>
      </c>
      <c r="B44" s="5" t="s">
        <v>42</v>
      </c>
      <c r="C44" s="4" t="n">
        <v>14</v>
      </c>
      <c r="D44" s="4" t="n">
        <v>11</v>
      </c>
      <c r="E44" s="4" t="n">
        <v>8</v>
      </c>
      <c r="F44" s="4" t="n">
        <v>1</v>
      </c>
      <c r="G44" s="4" t="n">
        <v>2</v>
      </c>
      <c r="H44" s="29" t="n">
        <f aca="false">D44/C44</f>
        <v>0.785714285714286</v>
      </c>
      <c r="I44" s="23" t="n">
        <f aca="false">E44/D44</f>
        <v>0.727272727272727</v>
      </c>
      <c r="J44" s="30" t="n">
        <f aca="false">F44/D44</f>
        <v>0.0909090909090909</v>
      </c>
      <c r="K44" s="31" t="n">
        <f aca="false">G44/D44</f>
        <v>0.181818181818182</v>
      </c>
    </row>
    <row r="45" customFormat="false" ht="19.5" hidden="false" customHeight="true" outlineLevel="0" collapsed="false">
      <c r="A45" s="9" t="s">
        <v>166</v>
      </c>
      <c r="B45" s="10" t="s">
        <v>28</v>
      </c>
      <c r="C45" s="9" t="n">
        <v>29</v>
      </c>
      <c r="D45" s="9" t="n">
        <v>22</v>
      </c>
      <c r="E45" s="9" t="n">
        <v>21</v>
      </c>
      <c r="F45" s="9" t="n">
        <v>0</v>
      </c>
      <c r="G45" s="9" t="n">
        <v>1</v>
      </c>
      <c r="H45" s="32" t="n">
        <f aca="false">D45/C45</f>
        <v>0.758620689655172</v>
      </c>
      <c r="I45" s="23" t="n">
        <f aca="false">E45/D45</f>
        <v>0.954545454545455</v>
      </c>
      <c r="J45" s="30" t="n">
        <f aca="false">F45/D45</f>
        <v>0</v>
      </c>
      <c r="K45" s="31" t="n">
        <f aca="false">G45/D45</f>
        <v>0.0454545454545455</v>
      </c>
    </row>
    <row r="46" customFormat="false" ht="19.5" hidden="false" customHeight="true" outlineLevel="0" collapsed="false">
      <c r="A46" s="4" t="s">
        <v>166</v>
      </c>
      <c r="B46" s="5" t="s">
        <v>24</v>
      </c>
      <c r="C46" s="4" t="n">
        <v>15</v>
      </c>
      <c r="D46" s="4" t="n">
        <v>15</v>
      </c>
      <c r="E46" s="4" t="n">
        <v>13</v>
      </c>
      <c r="F46" s="4" t="n">
        <v>1</v>
      </c>
      <c r="G46" s="4" t="n">
        <v>1</v>
      </c>
      <c r="H46" s="29" t="n">
        <f aca="false">D46/C46</f>
        <v>1</v>
      </c>
      <c r="I46" s="23" t="n">
        <f aca="false">E46/D46</f>
        <v>0.866666666666667</v>
      </c>
      <c r="J46" s="30" t="n">
        <f aca="false">F46/D46</f>
        <v>0.0666666666666667</v>
      </c>
      <c r="K46" s="31" t="n">
        <f aca="false">G46/D46</f>
        <v>0.0666666666666667</v>
      </c>
    </row>
    <row r="47" customFormat="false" ht="19.5" hidden="false" customHeight="true" outlineLevel="0" collapsed="false">
      <c r="A47" s="9" t="s">
        <v>166</v>
      </c>
      <c r="B47" s="10" t="s">
        <v>39</v>
      </c>
      <c r="C47" s="9" t="n">
        <v>28</v>
      </c>
      <c r="D47" s="9" t="n">
        <v>28</v>
      </c>
      <c r="E47" s="9" t="n">
        <v>26</v>
      </c>
      <c r="F47" s="9" t="n">
        <v>2</v>
      </c>
      <c r="G47" s="9" t="n">
        <v>0</v>
      </c>
      <c r="H47" s="32" t="n">
        <f aca="false">D47/C47</f>
        <v>1</v>
      </c>
      <c r="I47" s="23" t="n">
        <f aca="false">E47/D47</f>
        <v>0.928571428571429</v>
      </c>
      <c r="J47" s="30" t="n">
        <f aca="false">F47/D47</f>
        <v>0.0714285714285714</v>
      </c>
      <c r="K47" s="31" t="n">
        <f aca="false">G47/D47</f>
        <v>0</v>
      </c>
    </row>
    <row r="48" customFormat="false" ht="19.5" hidden="false" customHeight="true" outlineLevel="0" collapsed="false">
      <c r="A48" s="4" t="s">
        <v>166</v>
      </c>
      <c r="B48" s="5" t="s">
        <v>45</v>
      </c>
      <c r="C48" s="4" t="n">
        <v>28</v>
      </c>
      <c r="D48" s="4" t="n">
        <v>28</v>
      </c>
      <c r="E48" s="4" t="n">
        <v>24</v>
      </c>
      <c r="F48" s="4" t="n">
        <v>2</v>
      </c>
      <c r="G48" s="4" t="n">
        <v>2</v>
      </c>
      <c r="H48" s="29" t="n">
        <f aca="false">D48/C48</f>
        <v>1</v>
      </c>
      <c r="I48" s="23" t="n">
        <f aca="false">E48/D48</f>
        <v>0.857142857142857</v>
      </c>
      <c r="J48" s="30" t="n">
        <f aca="false">F48/D48</f>
        <v>0.0714285714285714</v>
      </c>
      <c r="K48" s="31" t="n">
        <f aca="false">G48/D48</f>
        <v>0.0714285714285714</v>
      </c>
    </row>
    <row r="49" customFormat="false" ht="19.5" hidden="false" customHeight="true" outlineLevel="0" collapsed="false">
      <c r="A49" s="9" t="s">
        <v>166</v>
      </c>
      <c r="B49" s="10" t="s">
        <v>62</v>
      </c>
      <c r="C49" s="9" t="n">
        <v>14</v>
      </c>
      <c r="D49" s="9" t="n">
        <v>12</v>
      </c>
      <c r="E49" s="9" t="n">
        <v>8</v>
      </c>
      <c r="F49" s="9" t="n">
        <v>3</v>
      </c>
      <c r="G49" s="9" t="n">
        <v>1</v>
      </c>
      <c r="H49" s="32" t="n">
        <f aca="false">D49/C49</f>
        <v>0.857142857142857</v>
      </c>
      <c r="I49" s="23" t="n">
        <f aca="false">E49/D49</f>
        <v>0.666666666666667</v>
      </c>
      <c r="J49" s="30" t="n">
        <f aca="false">F49/D49</f>
        <v>0.25</v>
      </c>
      <c r="K49" s="31" t="n">
        <f aca="false">G49/D49</f>
        <v>0.0833333333333333</v>
      </c>
    </row>
    <row r="50" customFormat="false" ht="19.5" hidden="false" customHeight="true" outlineLevel="0" collapsed="false">
      <c r="A50" s="4" t="s">
        <v>185</v>
      </c>
      <c r="B50" s="5" t="s">
        <v>20</v>
      </c>
      <c r="C50" s="4" t="n">
        <v>24</v>
      </c>
      <c r="D50" s="4" t="n">
        <v>20</v>
      </c>
      <c r="E50" s="4" t="n">
        <v>16</v>
      </c>
      <c r="F50" s="4" t="n">
        <v>4</v>
      </c>
      <c r="G50" s="4" t="n">
        <v>0</v>
      </c>
      <c r="H50" s="29" t="n">
        <f aca="false">D50/C50</f>
        <v>0.833333333333333</v>
      </c>
      <c r="I50" s="23" t="n">
        <f aca="false">E50/D50</f>
        <v>0.8</v>
      </c>
      <c r="J50" s="30" t="n">
        <f aca="false">F50/D50</f>
        <v>0.2</v>
      </c>
      <c r="K50" s="31" t="n">
        <f aca="false">G50/D50</f>
        <v>0</v>
      </c>
    </row>
    <row r="51" customFormat="false" ht="19.5" hidden="false" customHeight="true" outlineLevel="0" collapsed="false">
      <c r="A51" s="9" t="s">
        <v>185</v>
      </c>
      <c r="B51" s="10" t="s">
        <v>13</v>
      </c>
      <c r="C51" s="9" t="n">
        <v>11</v>
      </c>
      <c r="D51" s="9" t="n">
        <v>9</v>
      </c>
      <c r="E51" s="9" t="n">
        <v>8</v>
      </c>
      <c r="F51" s="9" t="n">
        <v>0</v>
      </c>
      <c r="G51" s="9" t="n">
        <v>1</v>
      </c>
      <c r="H51" s="32" t="n">
        <f aca="false">D51/C51</f>
        <v>0.818181818181818</v>
      </c>
      <c r="I51" s="23" t="n">
        <f aca="false">E51/D51</f>
        <v>0.888888888888889</v>
      </c>
      <c r="J51" s="30" t="n">
        <f aca="false">F51/D51</f>
        <v>0</v>
      </c>
      <c r="K51" s="31" t="n">
        <f aca="false">G51/D51</f>
        <v>0.111111111111111</v>
      </c>
    </row>
    <row r="52" customFormat="false" ht="19.5" hidden="false" customHeight="true" outlineLevel="0" collapsed="false">
      <c r="A52" s="4" t="s">
        <v>185</v>
      </c>
      <c r="B52" s="5" t="s">
        <v>42</v>
      </c>
      <c r="C52" s="4" t="n">
        <v>19</v>
      </c>
      <c r="D52" s="4" t="n">
        <v>16</v>
      </c>
      <c r="E52" s="4" t="n">
        <v>14</v>
      </c>
      <c r="F52" s="4" t="n">
        <v>0</v>
      </c>
      <c r="G52" s="4" t="n">
        <v>2</v>
      </c>
      <c r="H52" s="29" t="n">
        <f aca="false">D52/C52</f>
        <v>0.842105263157895</v>
      </c>
      <c r="I52" s="23" t="n">
        <f aca="false">E52/D52</f>
        <v>0.875</v>
      </c>
      <c r="J52" s="30" t="n">
        <f aca="false">F52/D52</f>
        <v>0</v>
      </c>
      <c r="K52" s="31" t="n">
        <f aca="false">G52/D52</f>
        <v>0.125</v>
      </c>
    </row>
    <row r="53" customFormat="false" ht="19.5" hidden="false" customHeight="true" outlineLevel="0" collapsed="false">
      <c r="A53" s="9" t="s">
        <v>185</v>
      </c>
      <c r="B53" s="10" t="s">
        <v>28</v>
      </c>
      <c r="C53" s="9" t="n">
        <v>11</v>
      </c>
      <c r="D53" s="9" t="n">
        <v>9</v>
      </c>
      <c r="E53" s="9" t="n">
        <v>7</v>
      </c>
      <c r="F53" s="9" t="n">
        <v>0</v>
      </c>
      <c r="G53" s="9" t="n">
        <v>2</v>
      </c>
      <c r="H53" s="32" t="n">
        <f aca="false">D53/C53</f>
        <v>0.818181818181818</v>
      </c>
      <c r="I53" s="23" t="n">
        <f aca="false">E53/D53</f>
        <v>0.777777777777778</v>
      </c>
      <c r="J53" s="30" t="n">
        <f aca="false">F53/D53</f>
        <v>0</v>
      </c>
      <c r="K53" s="31" t="n">
        <f aca="false">G53/D53</f>
        <v>0.222222222222222</v>
      </c>
    </row>
    <row r="54" customFormat="false" ht="19.5" hidden="false" customHeight="true" outlineLevel="0" collapsed="false">
      <c r="A54" s="4" t="s">
        <v>185</v>
      </c>
      <c r="B54" s="5" t="s">
        <v>24</v>
      </c>
      <c r="C54" s="4" t="n">
        <v>30</v>
      </c>
      <c r="D54" s="4" t="n">
        <v>22</v>
      </c>
      <c r="E54" s="4" t="n">
        <v>19</v>
      </c>
      <c r="F54" s="4" t="n">
        <v>3</v>
      </c>
      <c r="G54" s="4" t="n">
        <v>0</v>
      </c>
      <c r="H54" s="29" t="n">
        <f aca="false">D54/C54</f>
        <v>0.733333333333333</v>
      </c>
      <c r="I54" s="23" t="n">
        <f aca="false">E54/D54</f>
        <v>0.863636363636364</v>
      </c>
      <c r="J54" s="30" t="n">
        <f aca="false">F54/D54</f>
        <v>0.136363636363636</v>
      </c>
      <c r="K54" s="31" t="n">
        <f aca="false">G54/D54</f>
        <v>0</v>
      </c>
    </row>
    <row r="55" customFormat="false" ht="19.5" hidden="false" customHeight="true" outlineLevel="0" collapsed="false">
      <c r="A55" s="9" t="s">
        <v>185</v>
      </c>
      <c r="B55" s="10" t="s">
        <v>39</v>
      </c>
      <c r="C55" s="9" t="n">
        <v>24</v>
      </c>
      <c r="D55" s="9" t="n">
        <v>24</v>
      </c>
      <c r="E55" s="9" t="n">
        <v>16</v>
      </c>
      <c r="F55" s="9" t="n">
        <v>7</v>
      </c>
      <c r="G55" s="9" t="n">
        <v>1</v>
      </c>
      <c r="H55" s="32" t="n">
        <f aca="false">D55/C55</f>
        <v>1</v>
      </c>
      <c r="I55" s="23" t="n">
        <f aca="false">E55/D55</f>
        <v>0.666666666666667</v>
      </c>
      <c r="J55" s="30" t="n">
        <f aca="false">F55/D55</f>
        <v>0.291666666666667</v>
      </c>
      <c r="K55" s="31" t="n">
        <f aca="false">G55/D55</f>
        <v>0.0416666666666667</v>
      </c>
    </row>
    <row r="56" customFormat="false" ht="19.5" hidden="false" customHeight="true" outlineLevel="0" collapsed="false">
      <c r="A56" s="4" t="s">
        <v>185</v>
      </c>
      <c r="B56" s="5" t="s">
        <v>45</v>
      </c>
      <c r="C56" s="4" t="n">
        <v>28</v>
      </c>
      <c r="D56" s="4" t="n">
        <v>22</v>
      </c>
      <c r="E56" s="4" t="n">
        <v>17</v>
      </c>
      <c r="F56" s="4" t="n">
        <v>4</v>
      </c>
      <c r="G56" s="4" t="n">
        <v>1</v>
      </c>
      <c r="H56" s="29" t="n">
        <f aca="false">D56/C56</f>
        <v>0.785714285714286</v>
      </c>
      <c r="I56" s="23" t="n">
        <f aca="false">E56/D56</f>
        <v>0.772727272727273</v>
      </c>
      <c r="J56" s="30" t="n">
        <f aca="false">F56/D56</f>
        <v>0.181818181818182</v>
      </c>
      <c r="K56" s="31" t="n">
        <f aca="false">G56/D56</f>
        <v>0.0454545454545455</v>
      </c>
    </row>
    <row r="57" customFormat="false" ht="19.5" hidden="false" customHeight="true" outlineLevel="0" collapsed="false">
      <c r="A57" s="9" t="s">
        <v>185</v>
      </c>
      <c r="B57" s="10" t="s">
        <v>62</v>
      </c>
      <c r="C57" s="9" t="n">
        <v>25</v>
      </c>
      <c r="D57" s="9" t="n">
        <v>25</v>
      </c>
      <c r="E57" s="9" t="n">
        <v>19</v>
      </c>
      <c r="F57" s="9" t="n">
        <v>0</v>
      </c>
      <c r="G57" s="9" t="n">
        <v>6</v>
      </c>
      <c r="H57" s="32" t="n">
        <f aca="false">D57/C57</f>
        <v>1</v>
      </c>
      <c r="I57" s="23" t="n">
        <f aca="false">E57/D57</f>
        <v>0.76</v>
      </c>
      <c r="J57" s="30" t="n">
        <f aca="false">F57/D57</f>
        <v>0</v>
      </c>
      <c r="K57" s="31" t="n">
        <f aca="false">G57/D57</f>
        <v>0.24</v>
      </c>
    </row>
    <row r="58" customFormat="false" ht="19.5" hidden="false" customHeight="true" outlineLevel="0" collapsed="false">
      <c r="A58" s="4" t="s">
        <v>212</v>
      </c>
      <c r="B58" s="5" t="s">
        <v>20</v>
      </c>
      <c r="C58" s="4" t="n">
        <v>24</v>
      </c>
      <c r="D58" s="4" t="n">
        <v>17</v>
      </c>
      <c r="E58" s="4" t="n">
        <v>13</v>
      </c>
      <c r="F58" s="4" t="n">
        <v>0</v>
      </c>
      <c r="G58" s="4" t="n">
        <v>4</v>
      </c>
      <c r="H58" s="29" t="n">
        <f aca="false">D58/C58</f>
        <v>0.708333333333333</v>
      </c>
      <c r="I58" s="23" t="n">
        <f aca="false">E58/D58</f>
        <v>0.764705882352941</v>
      </c>
      <c r="J58" s="30" t="n">
        <f aca="false">F58/D58</f>
        <v>0</v>
      </c>
      <c r="K58" s="31" t="n">
        <f aca="false">G58/D58</f>
        <v>0.235294117647059</v>
      </c>
    </row>
    <row r="59" customFormat="false" ht="19.5" hidden="false" customHeight="true" outlineLevel="0" collapsed="false">
      <c r="A59" s="9" t="s">
        <v>212</v>
      </c>
      <c r="B59" s="10" t="s">
        <v>13</v>
      </c>
      <c r="C59" s="9" t="n">
        <v>26</v>
      </c>
      <c r="D59" s="9" t="n">
        <v>20</v>
      </c>
      <c r="E59" s="9" t="n">
        <v>14</v>
      </c>
      <c r="F59" s="9" t="n">
        <v>1</v>
      </c>
      <c r="G59" s="9" t="n">
        <v>5</v>
      </c>
      <c r="H59" s="32" t="n">
        <f aca="false">D59/C59</f>
        <v>0.769230769230769</v>
      </c>
      <c r="I59" s="23" t="n">
        <f aca="false">E59/D59</f>
        <v>0.7</v>
      </c>
      <c r="J59" s="30" t="n">
        <f aca="false">F59/D59</f>
        <v>0.05</v>
      </c>
      <c r="K59" s="31" t="n">
        <f aca="false">G59/D59</f>
        <v>0.25</v>
      </c>
    </row>
    <row r="60" customFormat="false" ht="19.5" hidden="false" customHeight="true" outlineLevel="0" collapsed="false">
      <c r="A60" s="4" t="s">
        <v>212</v>
      </c>
      <c r="B60" s="5" t="s">
        <v>42</v>
      </c>
      <c r="C60" s="4" t="n">
        <v>24</v>
      </c>
      <c r="D60" s="4" t="n">
        <v>23</v>
      </c>
      <c r="E60" s="4" t="n">
        <v>20</v>
      </c>
      <c r="F60" s="4" t="n">
        <v>1</v>
      </c>
      <c r="G60" s="4" t="n">
        <v>2</v>
      </c>
      <c r="H60" s="29" t="n">
        <f aca="false">D60/C60</f>
        <v>0.958333333333333</v>
      </c>
      <c r="I60" s="23" t="n">
        <f aca="false">E60/D60</f>
        <v>0.869565217391304</v>
      </c>
      <c r="J60" s="30" t="n">
        <f aca="false">F60/D60</f>
        <v>0.0434782608695652</v>
      </c>
      <c r="K60" s="31" t="n">
        <f aca="false">G60/D60</f>
        <v>0.0869565217391304</v>
      </c>
    </row>
    <row r="61" customFormat="false" ht="19.5" hidden="false" customHeight="true" outlineLevel="0" collapsed="false">
      <c r="A61" s="9" t="s">
        <v>212</v>
      </c>
      <c r="B61" s="10" t="s">
        <v>28</v>
      </c>
      <c r="C61" s="9" t="n">
        <v>21</v>
      </c>
      <c r="D61" s="9" t="n">
        <v>19</v>
      </c>
      <c r="E61" s="9" t="n">
        <v>15</v>
      </c>
      <c r="F61" s="9" t="n">
        <v>3</v>
      </c>
      <c r="G61" s="9" t="n">
        <v>1</v>
      </c>
      <c r="H61" s="32" t="n">
        <f aca="false">D61/C61</f>
        <v>0.904761904761905</v>
      </c>
      <c r="I61" s="23" t="n">
        <f aca="false">E61/D61</f>
        <v>0.789473684210526</v>
      </c>
      <c r="J61" s="30" t="n">
        <f aca="false">F61/D61</f>
        <v>0.157894736842105</v>
      </c>
      <c r="K61" s="31" t="n">
        <f aca="false">G61/D61</f>
        <v>0.0526315789473684</v>
      </c>
    </row>
    <row r="62" customFormat="false" ht="19.5" hidden="false" customHeight="true" outlineLevel="0" collapsed="false">
      <c r="A62" s="4" t="s">
        <v>212</v>
      </c>
      <c r="B62" s="5" t="s">
        <v>24</v>
      </c>
      <c r="C62" s="4" t="n">
        <v>23</v>
      </c>
      <c r="D62" s="4" t="n">
        <v>21</v>
      </c>
      <c r="E62" s="4" t="n">
        <v>19</v>
      </c>
      <c r="F62" s="4" t="n">
        <v>2</v>
      </c>
      <c r="G62" s="4" t="n">
        <v>0</v>
      </c>
      <c r="H62" s="29" t="n">
        <f aca="false">D62/C62</f>
        <v>0.91304347826087</v>
      </c>
      <c r="I62" s="23" t="n">
        <f aca="false">E62/D62</f>
        <v>0.904761904761905</v>
      </c>
      <c r="J62" s="30" t="n">
        <f aca="false">F62/D62</f>
        <v>0.0952380952380952</v>
      </c>
      <c r="K62" s="31" t="n">
        <f aca="false">G62/D62</f>
        <v>0</v>
      </c>
    </row>
    <row r="63" customFormat="false" ht="19.5" hidden="false" customHeight="true" outlineLevel="0" collapsed="false">
      <c r="A63" s="9" t="s">
        <v>212</v>
      </c>
      <c r="B63" s="10" t="s">
        <v>39</v>
      </c>
      <c r="C63" s="9" t="n">
        <v>11</v>
      </c>
      <c r="D63" s="9" t="n">
        <v>9</v>
      </c>
      <c r="E63" s="9" t="n">
        <v>6</v>
      </c>
      <c r="F63" s="9" t="n">
        <v>2</v>
      </c>
      <c r="G63" s="9" t="n">
        <v>1</v>
      </c>
      <c r="H63" s="32" t="n">
        <f aca="false">D63/C63</f>
        <v>0.818181818181818</v>
      </c>
      <c r="I63" s="23" t="n">
        <f aca="false">E63/D63</f>
        <v>0.666666666666667</v>
      </c>
      <c r="J63" s="30" t="n">
        <f aca="false">F63/D63</f>
        <v>0.222222222222222</v>
      </c>
      <c r="K63" s="31" t="n">
        <f aca="false">G63/D63</f>
        <v>0.111111111111111</v>
      </c>
    </row>
    <row r="64" customFormat="false" ht="19.5" hidden="false" customHeight="true" outlineLevel="0" collapsed="false">
      <c r="A64" s="4" t="s">
        <v>212</v>
      </c>
      <c r="B64" s="5" t="s">
        <v>45</v>
      </c>
      <c r="C64" s="4" t="n">
        <v>13</v>
      </c>
      <c r="D64" s="4" t="n">
        <v>13</v>
      </c>
      <c r="E64" s="4" t="n">
        <v>12</v>
      </c>
      <c r="F64" s="4" t="n">
        <v>1</v>
      </c>
      <c r="G64" s="4" t="n">
        <v>0</v>
      </c>
      <c r="H64" s="29" t="n">
        <f aca="false">D64/C64</f>
        <v>1</v>
      </c>
      <c r="I64" s="23" t="n">
        <f aca="false">E64/D64</f>
        <v>0.923076923076923</v>
      </c>
      <c r="J64" s="30" t="n">
        <f aca="false">F64/D64</f>
        <v>0.0769230769230769</v>
      </c>
      <c r="K64" s="31" t="n">
        <f aca="false">G64/D64</f>
        <v>0</v>
      </c>
    </row>
    <row r="65" customFormat="false" ht="19.5" hidden="false" customHeight="true" outlineLevel="0" collapsed="false">
      <c r="A65" s="9" t="s">
        <v>212</v>
      </c>
      <c r="B65" s="10" t="s">
        <v>62</v>
      </c>
      <c r="C65" s="9" t="n">
        <v>18</v>
      </c>
      <c r="D65" s="9" t="n">
        <v>17</v>
      </c>
      <c r="E65" s="9" t="n">
        <v>16</v>
      </c>
      <c r="F65" s="9" t="n">
        <v>0</v>
      </c>
      <c r="G65" s="9" t="n">
        <v>1</v>
      </c>
      <c r="H65" s="32" t="n">
        <f aca="false">D65/C65</f>
        <v>0.944444444444444</v>
      </c>
      <c r="I65" s="23" t="n">
        <f aca="false">E65/D65</f>
        <v>0.941176470588235</v>
      </c>
      <c r="J65" s="30" t="n">
        <f aca="false">F65/D65</f>
        <v>0</v>
      </c>
      <c r="K65" s="31" t="n">
        <f aca="false">G65/D65</f>
        <v>0.0588235294117647</v>
      </c>
    </row>
  </sheetData>
  <autoFilter ref="A1:K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4"/>
    <col collapsed="false" customWidth="true" hidden="false" outlineLevel="0" max="5" min="5" style="0" width="10"/>
    <col collapsed="false" customWidth="true" hidden="false" outlineLevel="0" max="6" min="6" style="0" width="40"/>
  </cols>
  <sheetData>
    <row r="1" customFormat="false" ht="37.5" hidden="false" customHeight="true" outlineLevel="0" collapsed="false">
      <c r="A1" s="33" t="s">
        <v>259</v>
      </c>
      <c r="B1" s="33"/>
      <c r="C1" s="33"/>
      <c r="D1" s="33"/>
      <c r="E1" s="33"/>
      <c r="F1" s="33"/>
    </row>
    <row r="2" customFormat="false" ht="30" hidden="false" customHeight="true" outlineLevel="0" collapsed="false">
      <c r="A2" s="1" t="s">
        <v>260</v>
      </c>
      <c r="B2" s="1" t="s">
        <v>261</v>
      </c>
      <c r="C2" s="1" t="s">
        <v>262</v>
      </c>
      <c r="D2" s="1" t="s">
        <v>5</v>
      </c>
      <c r="E2" s="1" t="s">
        <v>263</v>
      </c>
      <c r="F2" s="1" t="s">
        <v>264</v>
      </c>
    </row>
    <row r="3" customFormat="false" ht="25.5" hidden="false" customHeight="true" outlineLevel="0" collapsed="false">
      <c r="A3" s="34" t="s">
        <v>265</v>
      </c>
      <c r="B3" s="35" t="n">
        <v>186</v>
      </c>
      <c r="C3" s="9" t="s">
        <v>266</v>
      </c>
      <c r="D3" s="36" t="s">
        <v>267</v>
      </c>
      <c r="E3" s="9" t="s">
        <v>268</v>
      </c>
      <c r="F3" s="10" t="s">
        <v>269</v>
      </c>
    </row>
    <row r="4" customFormat="false" ht="25.5" hidden="false" customHeight="true" outlineLevel="0" collapsed="false">
      <c r="A4" s="37" t="s">
        <v>270</v>
      </c>
      <c r="B4" s="38" t="n">
        <f aca="false">Sprint_Summary!H13</f>
        <v>0.778975985028617</v>
      </c>
      <c r="C4" s="4" t="s">
        <v>271</v>
      </c>
      <c r="D4" s="36" t="s">
        <v>267</v>
      </c>
      <c r="E4" s="4" t="s">
        <v>272</v>
      </c>
      <c r="F4" s="5" t="s">
        <v>273</v>
      </c>
    </row>
    <row r="5" customFormat="false" ht="25.5" hidden="false" customHeight="true" outlineLevel="0" collapsed="false">
      <c r="A5" s="34" t="s">
        <v>274</v>
      </c>
      <c r="B5" s="35" t="n">
        <v>18</v>
      </c>
      <c r="C5" s="9" t="s">
        <v>275</v>
      </c>
      <c r="D5" s="39" t="s">
        <v>276</v>
      </c>
      <c r="E5" s="9" t="s">
        <v>268</v>
      </c>
      <c r="F5" s="10" t="s">
        <v>277</v>
      </c>
    </row>
    <row r="6" customFormat="false" ht="25.5" hidden="false" customHeight="true" outlineLevel="0" collapsed="false">
      <c r="A6" s="37" t="s">
        <v>278</v>
      </c>
      <c r="B6" s="40" t="s">
        <v>279</v>
      </c>
      <c r="C6" s="4" t="s">
        <v>280</v>
      </c>
      <c r="D6" s="36" t="s">
        <v>267</v>
      </c>
      <c r="E6" s="4" t="s">
        <v>281</v>
      </c>
      <c r="F6" s="5" t="s">
        <v>282</v>
      </c>
    </row>
    <row r="7" customFormat="false" ht="25.5" hidden="false" customHeight="true" outlineLevel="0" collapsed="false">
      <c r="A7" s="34" t="s">
        <v>283</v>
      </c>
      <c r="B7" s="35" t="n">
        <f aca="false">AVERAGEIF(Defects_Log!D:D,"Critical",Defects_Log!I:I)</f>
        <v>15.6666666666667</v>
      </c>
      <c r="C7" s="9" t="s">
        <v>284</v>
      </c>
      <c r="D7" s="39" t="s">
        <v>276</v>
      </c>
      <c r="E7" s="9" t="s">
        <v>268</v>
      </c>
      <c r="F7" s="10" t="s">
        <v>285</v>
      </c>
    </row>
    <row r="8" customFormat="false" ht="25.5" hidden="false" customHeight="true" outlineLevel="0" collapsed="false">
      <c r="A8" s="37" t="s">
        <v>286</v>
      </c>
      <c r="B8" s="38" t="n">
        <f aca="false">AVERAGE(Sprint_Summary!L5:L12)</f>
        <v>0.88155</v>
      </c>
      <c r="C8" s="4" t="s">
        <v>287</v>
      </c>
      <c r="D8" s="39" t="s">
        <v>276</v>
      </c>
      <c r="E8" s="4" t="s">
        <v>272</v>
      </c>
      <c r="F8" s="5" t="s">
        <v>288</v>
      </c>
    </row>
    <row r="9" customFormat="false" ht="25.5" hidden="false" customHeight="true" outlineLevel="0" collapsed="false">
      <c r="A9" s="34" t="s">
        <v>289</v>
      </c>
      <c r="B9" s="41" t="n">
        <f aca="false">AVERAGE(Test_Execution!H2:H65)</f>
        <v>0.858443233387882</v>
      </c>
      <c r="C9" s="9" t="s">
        <v>290</v>
      </c>
      <c r="D9" s="36" t="s">
        <v>267</v>
      </c>
      <c r="E9" s="9" t="s">
        <v>272</v>
      </c>
      <c r="F9" s="10" t="s">
        <v>291</v>
      </c>
    </row>
    <row r="10" customFormat="false" ht="25.5" hidden="false" customHeight="true" outlineLevel="0" collapsed="false">
      <c r="A10" s="37" t="s">
        <v>292</v>
      </c>
      <c r="B10" s="40" t="n">
        <v>10</v>
      </c>
      <c r="C10" s="4" t="s">
        <v>293</v>
      </c>
      <c r="D10" s="36" t="s">
        <v>267</v>
      </c>
      <c r="E10" s="4" t="s">
        <v>281</v>
      </c>
      <c r="F10" s="5" t="s">
        <v>294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2026-03-27T17:40:53Z</dcterms:created>
  <dc:creator>openpyxl</dc:creator>
  <dc:description/>
  <dc:language>en-US</dc:language>
  <cp:lastModifiedBy/>
  <dcterms:modified xsi:type="dcterms:W3CDTF">2026-03-27T17:40:54Z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